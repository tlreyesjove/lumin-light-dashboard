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Headcount" sheetId="2" state="visible" r:id="rId4"/>
    <sheet name="USA PL" sheetId="3" state="visible" r:id="rId5"/>
    <sheet name="Nigeria PL" sheetId="4" state="visible" r:id="rId6"/>
    <sheet name="Consolidated PL" sheetId="5" state="visible" r:id="rId7"/>
    <sheet name="Cash Flow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<sst xmlns="http://schemas.openxmlformats.org/spreadsheetml/2006/main" count="289" uniqueCount="125">
  <si>
    <t xml:space="preserve">Lumin Light — 2025-2026 Financial Model — Assumptions</t>
  </si>
  <si>
    <t xml:space="preserve">Every hardcoded number in this workbook lives on this tab or the Headcount tab (blue text). Everything else is a formula.</t>
  </si>
  <si>
    <t xml:space="preserve">REVENUE TARGETS ($)</t>
  </si>
  <si>
    <t xml:space="preserve">Subsidiary</t>
  </si>
  <si>
    <t xml:space="preserve">2025</t>
  </si>
  <si>
    <t xml:space="preserve">2026</t>
  </si>
  <si>
    <t xml:space="preserve">Lumin Light USA</t>
  </si>
  <si>
    <t xml:space="preserve">Lumin Light Nigeria</t>
  </si>
  <si>
    <t xml:space="preserve">Total</t>
  </si>
  <si>
    <t xml:space="preserve">COST &amp; MARGIN ASSUMPTIONS</t>
  </si>
  <si>
    <t xml:space="preserve">Blended Gross Margin % (dollar-weighted across Sol 1-5 mix)</t>
  </si>
  <si>
    <t xml:space="preserve">Empirically calibrated from an actual generate_sales_data() run (config.RANDOM_SEED=42), not a theoretical average — see Learning Doc 2.4. If PRODUCTS or RANDOM_SEED in config.py ever change, recheck this against a fresh run's realized margin.</t>
  </si>
  <si>
    <t xml:space="preserve">OPERATING EXPENSE ASSUMPTIONS</t>
  </si>
  <si>
    <t xml:space="preserve">Benefits &amp; Payroll Tax Loading (% of base salary)</t>
  </si>
  <si>
    <t xml:space="preserve">Sales Commission (% of Revenue)</t>
  </si>
  <si>
    <t xml:space="preserve">Annual Cost Inflation (2025 -&gt; 2026)</t>
  </si>
  <si>
    <t xml:space="preserve">Annual Depreciation &amp; Amortization — USA ($)</t>
  </si>
  <si>
    <t xml:space="preserve">Annual Depreciation &amp; Amortization — Nigeria ($)</t>
  </si>
  <si>
    <t xml:space="preserve">OTHER OPERATING EXPENSE CATEGORIES — 2025 Annual Baseline ($)</t>
  </si>
  <si>
    <t xml:space="preserve">Category</t>
  </si>
  <si>
    <t xml:space="preserve">USA</t>
  </si>
  <si>
    <t xml:space="preserve">Nigeria</t>
  </si>
  <si>
    <t xml:space="preserve">Rent &amp; Facilities</t>
  </si>
  <si>
    <t xml:space="preserve">Travel</t>
  </si>
  <si>
    <t xml:space="preserve">Professional Services</t>
  </si>
  <si>
    <t xml:space="preserve">Marketing</t>
  </si>
  <si>
    <t xml:space="preserve">Freight &amp; Logistics</t>
  </si>
  <si>
    <t xml:space="preserve">G&amp;A / Admin</t>
  </si>
  <si>
    <t xml:space="preserve">MONTHLY REVENUE SEASONALITY INDEX (institutional year-end budget flush pushes Q4 higher)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</si>
  <si>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</si>
  <si>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</si>
  <si>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</si>
  <si>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</si>
  <si>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</si>
  <si>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</si>
  <si>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</si>
  <si>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</si>
  <si>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</si>
  <si>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</si>
  <si>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</si>
  <si>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</si>
  <si>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Check (sums to 12.00 if evenly weighted; doesn't have to — formulas normalize either way)</t>
  </si>
  <si>
    <t xml:space="preserve">AR Collection Lag (months) — institutional buyers pay slowly; matches the Python actuals model</t>
  </si>
  <si>
    <t xml:space="preserve">STARTING CASH BALANCE — Jan 1, 2025 ($)</t>
  </si>
  <si>
    <t xml:space="preserve">Lumin Light — Headcount &amp; Salaries</t>
  </si>
  <si>
    <t xml:space="preserve">20 roles, ~20-person operation per Tatiana. Base salaries only — Assumptions!benefits loading is applied on the P&amp;L tabs, not here.</t>
  </si>
  <si>
    <t xml:space="preserve">Role</t>
  </si>
  <si>
    <t xml:space="preserve">2025 Annual Base Salary ($)</t>
  </si>
  <si>
    <t xml:space="preserve">2026 Annual Base Salary ($)</t>
  </si>
  <si>
    <t xml:space="preserve">CEO</t>
  </si>
  <si>
    <t xml:space="preserve">COO</t>
  </si>
  <si>
    <t xml:space="preserve">CFO (Fractional)</t>
  </si>
  <si>
    <t xml:space="preserve">VP Sales</t>
  </si>
  <si>
    <t xml:space="preserve">Regional Sales Director, West Africa</t>
  </si>
  <si>
    <t xml:space="preserve">Sales Manager, Government &amp; Multilateral Accounts</t>
  </si>
  <si>
    <t xml:space="preserve">Sales Manager, NGO Accounts</t>
  </si>
  <si>
    <t xml:space="preserve">Business Development Manager</t>
  </si>
  <si>
    <t xml:space="preserve">Tender &amp; Bid Manager</t>
  </si>
  <si>
    <t xml:space="preserve">Supply Chain Director</t>
  </si>
  <si>
    <t xml:space="preserve">Warehouse Manager, Houston</t>
  </si>
  <si>
    <t xml:space="preserve">Warehouse Manager, Lagos</t>
  </si>
  <si>
    <t xml:space="preserve">Logistics &amp; Procurement Coordinator</t>
  </si>
  <si>
    <t xml:space="preserve">Inventory &amp; Ops Analyst</t>
  </si>
  <si>
    <t xml:space="preserve">Controller</t>
  </si>
  <si>
    <t xml:space="preserve">Finance &amp; Accounting Associate</t>
  </si>
  <si>
    <t xml:space="preserve">Office &amp; Admin Manager</t>
  </si>
  <si>
    <t xml:space="preserve">Marketing Manager</t>
  </si>
  <si>
    <t xml:space="preserve">Customer Success / Account Manager</t>
  </si>
  <si>
    <t xml:space="preserve">IT &amp; Systems Administrator</t>
  </si>
  <si>
    <t xml:space="preserve">Total Base Salary</t>
  </si>
  <si>
    <t xml:space="preserve">Lumin Light USA Total</t>
  </si>
  <si>
    <t xml:space="preserve">Lumin Light Nigeria Total</t>
  </si>
  <si>
    <t xml:space="preserve">Lumin Light USA — P&amp;L</t>
  </si>
  <si>
    <t xml:space="preserve">FY2025</t>
  </si>
  <si>
    <t xml:space="preserve">FY2026</t>
  </si>
  <si>
    <t xml:space="preserve">Annual</t>
  </si>
  <si>
    <t xml:space="preserve">Revenue</t>
  </si>
  <si>
    <t xml:space="preserve">COGS</t>
  </si>
  <si>
    <t xml:space="preserve">Gross Profit</t>
  </si>
  <si>
    <t xml:space="preserve">Gross Margin %</t>
  </si>
  <si>
    <t xml:space="preserve">Operating Expenses</t>
  </si>
  <si>
    <t xml:space="preserve">Salaries &amp; Benefits</t>
  </si>
  <si>
    <t xml:space="preserve">Sales Commission</t>
  </si>
  <si>
    <t xml:space="preserve">Total Operating Expenses</t>
  </si>
  <si>
    <t xml:space="preserve">EBITDA</t>
  </si>
  <si>
    <t xml:space="preserve">EBITDA Margin %</t>
  </si>
  <si>
    <t xml:space="preserve">Depreciation &amp; Amortization</t>
  </si>
  <si>
    <t xml:space="preserve">EBIT</t>
  </si>
  <si>
    <t xml:space="preserve">EBIT Margin %</t>
  </si>
  <si>
    <t xml:space="preserve">Lumin Light Nigeria — P&amp;L</t>
  </si>
  <si>
    <t xml:space="preserve">Lumin Light — Consolidated P&amp;L (USA + Nigeria)</t>
  </si>
  <si>
    <t xml:space="preserve">No intercompany elimination line — both subsidiaries buy at the same price from an external supplier, so Consolidated is a straight sum.</t>
  </si>
  <si>
    <t xml:space="preserve">Lumin Light — Cash Flow</t>
  </si>
  <si>
    <t xml:space="preserve">1-month AR collection lag on Revenue (institutional buyers pay slowly); COGS and Opex paid same month — same logic as the Python actuals model.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</si>
  <si>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</si>
  <si>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</si>
  <si>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</si>
  <si>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</si>
  <si>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</si>
  <si>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</si>
  <si>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</si>
  <si>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</si>
  <si>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</si>
  <si>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</si>
  <si>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</si>
  <si>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</si>
  <si>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</si>
  <si>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</si>
  <si>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</si>
  <si>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</si>
  <si>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</si>
  <si>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</si>
  <si>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</si>
  <si>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</si>
  <si>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</si>
  <si>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</si>
  <si>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</si>
  <si>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</si>
  <si>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Opening Balance</t>
  </si>
  <si>
    <t xml:space="preserve">Revenue Collected</t>
  </si>
  <si>
    <t xml:space="preserve">COGS Paid</t>
  </si>
  <si>
    <t xml:space="preserve">Opex Paid</t>
  </si>
  <si>
    <t xml:space="preserve">Net Cash Change</t>
  </si>
  <si>
    <t xml:space="preserve">Closing Balance</t>
  </si>
  <si>
    <t xml:space="preserve">Consolidated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</si>
</sst>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"/>
    <numFmt numFmtId="167" formatCode="0.00"/>
    <numFmt numFmtId="16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  <font>
      <i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14" min="3" style="0" width="13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  <c r="C5" s="3" t="s">
        <v>4</v>
      </c>
      <c r="D5" s="3" t="s">
        <v>5</v>
      </c>
    </row>
    <row r="6" customFormat="false" ht="15" hidden="false" customHeight="false" outlineLevel="0" collapsed="false">
      <c r="B6" s="0" t="s">
        <v>6</v>
      </c>
      <c r="C6" s="4" t="n">
        <v>7850000</v>
      </c>
      <c r="D6" s="4" t="n">
        <v>9000000</v>
      </c>
    </row>
    <row r="7" customFormat="false" ht="15" hidden="false" customHeight="false" outlineLevel="0" collapsed="false">
      <c r="B7" s="0" t="s">
        <v>7</v>
      </c>
      <c r="C7" s="4" t="n">
        <v>5100000</v>
      </c>
      <c r="D7" s="4" t="n">
        <v>6000000</v>
      </c>
    </row>
    <row r="8" customFormat="false" ht="15" hidden="false" customHeight="false" outlineLevel="0" collapsed="false">
      <c r="B8" s="3" t="s">
        <v>8</v>
      </c>
      <c r="C8" s="5" t="n">
        <f aca="false">SUM(C6:C7)</f>
        <v>12950000</v>
      </c>
      <c r="D8" s="5" t="n">
        <f aca="false">SUM(D6:D7)</f>
        <v>15000000</v>
      </c>
    </row>
    <row r="10" customFormat="false" ht="15" hidden="false" customHeight="false" outlineLevel="0" collapsed="false">
      <c r="B10" s="3" t="s">
        <v>9</v>
      </c>
    </row>
    <row r="11" customFormat="false" ht="15" hidden="false" customHeight="false" outlineLevel="0" collapsed="false">
      <c r="B11" s="0" t="s">
        <v>10</v>
      </c>
      <c r="C11" s="6" t="n">
        <v>0.473</v>
      </c>
    </row>
    <row r="12" customFormat="false" ht="15" hidden="false" customHeight="false" outlineLevel="0" collapsed="false">
      <c r="B12" s="2" t="s">
        <v>11</v>
      </c>
    </row>
    <row r="14" customFormat="false" ht="15" hidden="false" customHeight="false" outlineLevel="0" collapsed="false">
      <c r="B14" s="3" t="s">
        <v>12</v>
      </c>
    </row>
    <row r="15" customFormat="false" ht="15" hidden="false" customHeight="false" outlineLevel="0" collapsed="false">
      <c r="B15" s="0" t="s">
        <v>13</v>
      </c>
      <c r="C15" s="6" t="n">
        <v>0.25</v>
      </c>
    </row>
    <row r="16" customFormat="false" ht="15" hidden="false" customHeight="false" outlineLevel="0" collapsed="false">
      <c r="B16" s="0" t="s">
        <v>14</v>
      </c>
      <c r="C16" s="6" t="n">
        <v>0.02</v>
      </c>
    </row>
    <row r="17" customFormat="false" ht="15" hidden="false" customHeight="false" outlineLevel="0" collapsed="false">
      <c r="B17" s="0" t="s">
        <v>15</v>
      </c>
      <c r="C17" s="6" t="n">
        <v>0.035</v>
      </c>
    </row>
    <row r="18" customFormat="false" ht="15" hidden="false" customHeight="false" outlineLevel="0" collapsed="false">
      <c r="B18" s="0" t="s">
        <v>16</v>
      </c>
      <c r="C18" s="4" t="n">
        <v>40000</v>
      </c>
    </row>
    <row r="19" customFormat="false" ht="15" hidden="false" customHeight="false" outlineLevel="0" collapsed="false">
      <c r="B19" s="0" t="s">
        <v>17</v>
      </c>
      <c r="C19" s="4" t="n">
        <v>20000</v>
      </c>
    </row>
    <row r="21" customFormat="false" ht="15" hidden="false" customHeight="false" outlineLevel="0" collapsed="false">
      <c r="B21" s="3" t="s">
        <v>18</v>
      </c>
    </row>
    <row r="22" customFormat="false" ht="15" hidden="false" customHeight="false" outlineLevel="0" collapsed="false">
      <c r="B22" s="3" t="s">
        <v>19</v>
      </c>
      <c r="C22" s="3" t="s">
        <v>20</v>
      </c>
      <c r="D22" s="3" t="s">
        <v>21</v>
      </c>
      <c r="E22" s="3" t="s">
        <v>8</v>
      </c>
    </row>
    <row r="23" customFormat="false" ht="15" hidden="false" customHeight="false" outlineLevel="0" collapsed="false">
      <c r="B23" s="0" t="s">
        <v>22</v>
      </c>
      <c r="C23" s="4" t="n">
        <v>150000</v>
      </c>
      <c r="D23" s="4" t="n">
        <v>90000</v>
      </c>
      <c r="E23" s="7" t="n">
        <f aca="false">SUM(C23:D23)</f>
        <v>240000</v>
      </c>
    </row>
    <row r="24" customFormat="false" ht="15" hidden="false" customHeight="false" outlineLevel="0" collapsed="false">
      <c r="B24" s="0" t="s">
        <v>23</v>
      </c>
      <c r="C24" s="4" t="n">
        <v>230000</v>
      </c>
      <c r="D24" s="4" t="n">
        <v>140000</v>
      </c>
      <c r="E24" s="7" t="n">
        <f aca="false">SUM(C24:D24)</f>
        <v>370000</v>
      </c>
    </row>
    <row r="25" customFormat="false" ht="15" hidden="false" customHeight="false" outlineLevel="0" collapsed="false">
      <c r="B25" s="0" t="s">
        <v>24</v>
      </c>
      <c r="C25" s="4" t="n">
        <v>140000</v>
      </c>
      <c r="D25" s="4" t="n">
        <v>60000</v>
      </c>
      <c r="E25" s="7" t="n">
        <f aca="false">SUM(C25:D25)</f>
        <v>200000</v>
      </c>
    </row>
    <row r="26" customFormat="false" ht="15" hidden="false" customHeight="false" outlineLevel="0" collapsed="false">
      <c r="B26" s="0" t="s">
        <v>25</v>
      </c>
      <c r="C26" s="4" t="n">
        <v>90000</v>
      </c>
      <c r="D26" s="4" t="n">
        <v>40000</v>
      </c>
      <c r="E26" s="7" t="n">
        <f aca="false">SUM(C26:D26)</f>
        <v>130000</v>
      </c>
    </row>
    <row r="27" customFormat="false" ht="15" hidden="false" customHeight="false" outlineLevel="0" collapsed="false">
      <c r="B27" s="0" t="s">
        <v>26</v>
      </c>
      <c r="C27" s="4" t="n">
        <v>180000</v>
      </c>
      <c r="D27" s="4" t="n">
        <v>160000</v>
      </c>
      <c r="E27" s="7" t="n">
        <f aca="false">SUM(C27:D27)</f>
        <v>340000</v>
      </c>
    </row>
    <row r="28" customFormat="false" ht="15" hidden="false" customHeight="false" outlineLevel="0" collapsed="false">
      <c r="B28" s="0" t="s">
        <v>27</v>
      </c>
      <c r="C28" s="4" t="n">
        <v>140000</v>
      </c>
      <c r="D28" s="4" t="n">
        <v>80000</v>
      </c>
      <c r="E28" s="7" t="n">
        <f aca="false">SUM(C28:D28)</f>
        <v>220000</v>
      </c>
    </row>
    <row r="29" customFormat="false" ht="15" hidden="false" customHeight="false" outlineLevel="0" collapsed="false">
      <c r="B29" s="3" t="s">
        <v>8</v>
      </c>
      <c r="C29" s="5" t="n">
        <f aca="false">SUM(C23:C28)</f>
        <v>930000</v>
      </c>
      <c r="D29" s="5" t="n">
        <f aca="false">SUM(D23:D28)</f>
        <v>570000</v>
      </c>
      <c r="E29" s="5" t="n">
        <f aca="false">SUM(E23:E28)</f>
        <v>1500000</v>
      </c>
    </row>
    <row r="31" customFormat="false" ht="15" hidden="false" customHeight="false" outlineLevel="0" collapsed="false">
      <c r="B31" s="3" t="s">
        <v>28</v>
      </c>
      <c r="C31" s="3" t="s">
        <v>29</v>
      </c>
      <c r="D31" s="3" t="s">
        <v>30</v>
      </c>
      <c r="E31" s="3" t="s">
        <v>31</v>
      </c>
      <c r="F31" s="3" t="s">
        <v>32</v>
      </c>
      <c r="G31" s="3" t="s">
        <v>33</v>
      </c>
      <c r="H31" s="3" t="s">
        <v>34</v>
      </c>
      <c r="I31" s="3" t="s">
        <v>35</v>
      </c>
      <c r="J31" s="3" t="s">
        <v>36</v>
      </c>
      <c r="K31" s="3" t="s">
        <v>37</v>
      </c>
      <c r="L31" s="3" t="s">
        <v>38</v>
      </c>
      <c r="M31" s="3" t="s">
        <v>39</v>
      </c>
      <c r="N31" s="3" t="s">
        <v>40</v>
      </c>
    </row>
    <row r="32" customFormat="false" ht="15" hidden="false" customHeight="false" outlineLevel="0" collapsed="false">
      <c r="C32" s="8" t="n">
        <v>0.85</v>
      </c>
      <c r="D32" s="8" t="n">
        <v>0.85</v>
      </c>
      <c r="E32" s="8" t="n">
        <v>0.9</v>
      </c>
      <c r="F32" s="8" t="n">
        <v>0.9</v>
      </c>
      <c r="G32" s="8" t="n">
        <v>0.95</v>
      </c>
      <c r="H32" s="8" t="n">
        <v>1</v>
      </c>
      <c r="I32" s="8" t="n">
        <v>0.95</v>
      </c>
      <c r="J32" s="8" t="n">
        <v>0.9</v>
      </c>
      <c r="K32" s="8" t="n">
        <v>1</v>
      </c>
      <c r="L32" s="8" t="n">
        <v>1.05</v>
      </c>
      <c r="M32" s="8" t="n">
        <v>1.3</v>
      </c>
      <c r="N32" s="8" t="n">
        <v>1.35</v>
      </c>
    </row>
    <row r="33" customFormat="false" ht="15" hidden="false" customHeight="false" outlineLevel="0" collapsed="false">
      <c r="B33" s="0" t="s">
        <v>41</v>
      </c>
      <c r="C33" s="9" t="n">
        <f aca="false">SUM(C32:N32)</f>
        <v>12</v>
      </c>
    </row>
    <row r="35" customFormat="false" ht="15" hidden="false" customHeight="false" outlineLevel="0" collapsed="false">
      <c r="B35" s="0" t="s">
        <v>42</v>
      </c>
      <c r="C35" s="10" t="n">
        <v>1</v>
      </c>
    </row>
    <row r="37" customFormat="false" ht="15" hidden="false" customHeight="false" outlineLevel="0" collapsed="false">
      <c r="B37" s="3" t="s">
        <v>43</v>
      </c>
    </row>
    <row r="38" customFormat="false" ht="15" hidden="false" customHeight="false" outlineLevel="0" collapsed="false">
      <c r="B38" s="0" t="s">
        <v>6</v>
      </c>
      <c r="C38" s="4" t="n">
        <v>2200000</v>
      </c>
    </row>
    <row r="39" customFormat="false" ht="15" hidden="false" customHeight="false" outlineLevel="0" collapsed="false">
      <c r="B39" s="0" t="s">
        <v>7</v>
      </c>
      <c r="C39" s="4" t="n">
        <v>2200000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5" min="4" style="0" width="16"/>
  </cols>
  <sheetData>
    <row r="1" customFormat="false" ht="17.35" hidden="false" customHeight="false" outlineLevel="0" collapsed="false">
      <c r="B1" s="1" t="s">
        <v>44</v>
      </c>
    </row>
    <row r="2" customFormat="false" ht="15" hidden="false" customHeight="false" outlineLevel="0" collapsed="false">
      <c r="B2" s="2" t="s">
        <v>45</v>
      </c>
    </row>
    <row r="4" customFormat="false" ht="15" hidden="false" customHeight="false" outlineLevel="0" collapsed="false">
      <c r="B4" s="3" t="s">
        <v>46</v>
      </c>
      <c r="C4" s="3" t="s">
        <v>3</v>
      </c>
      <c r="D4" s="3" t="s">
        <v>47</v>
      </c>
      <c r="E4" s="3" t="s">
        <v>48</v>
      </c>
    </row>
    <row r="5" customFormat="false" ht="15" hidden="false" customHeight="false" outlineLevel="0" collapsed="false">
      <c r="B5" s="0" t="s">
        <v>49</v>
      </c>
      <c r="C5" s="0" t="s">
        <v>6</v>
      </c>
      <c r="D5" s="4" t="n">
        <v>240000</v>
      </c>
      <c r="E5" s="7" t="n">
        <f aca="false">D5*(1+Assumptions!$C$17)</f>
        <v>248400</v>
      </c>
    </row>
    <row r="6" customFormat="false" ht="15" hidden="false" customHeight="false" outlineLevel="0" collapsed="false">
      <c r="B6" s="0" t="s">
        <v>50</v>
      </c>
      <c r="C6" s="0" t="s">
        <v>6</v>
      </c>
      <c r="D6" s="4" t="n">
        <v>190000</v>
      </c>
      <c r="E6" s="7" t="n">
        <f aca="false">D6*(1+Assumptions!$C$17)</f>
        <v>196650</v>
      </c>
    </row>
    <row r="7" customFormat="false" ht="15" hidden="false" customHeight="false" outlineLevel="0" collapsed="false">
      <c r="B7" s="0" t="s">
        <v>51</v>
      </c>
      <c r="C7" s="0" t="s">
        <v>6</v>
      </c>
      <c r="D7" s="4" t="n">
        <v>100000</v>
      </c>
      <c r="E7" s="7" t="n">
        <f aca="false">D7*(1+Assumptions!$C$17)</f>
        <v>103500</v>
      </c>
    </row>
    <row r="8" customFormat="false" ht="15" hidden="false" customHeight="false" outlineLevel="0" collapsed="false">
      <c r="B8" s="0" t="s">
        <v>52</v>
      </c>
      <c r="C8" s="0" t="s">
        <v>6</v>
      </c>
      <c r="D8" s="4" t="n">
        <v>180000</v>
      </c>
      <c r="E8" s="7" t="n">
        <f aca="false">D8*(1+Assumptions!$C$17)</f>
        <v>186300</v>
      </c>
    </row>
    <row r="9" customFormat="false" ht="15" hidden="false" customHeight="false" outlineLevel="0" collapsed="false">
      <c r="B9" s="0" t="s">
        <v>53</v>
      </c>
      <c r="C9" s="0" t="s">
        <v>7</v>
      </c>
      <c r="D9" s="4" t="n">
        <v>115000</v>
      </c>
      <c r="E9" s="7" t="n">
        <f aca="false">D9*(1+Assumptions!$C$17)</f>
        <v>119025</v>
      </c>
    </row>
    <row r="10" customFormat="false" ht="15" hidden="false" customHeight="false" outlineLevel="0" collapsed="false">
      <c r="B10" s="0" t="s">
        <v>54</v>
      </c>
      <c r="C10" s="0" t="s">
        <v>6</v>
      </c>
      <c r="D10" s="4" t="n">
        <v>135000</v>
      </c>
      <c r="E10" s="7" t="n">
        <f aca="false">D10*(1+Assumptions!$C$17)</f>
        <v>139725</v>
      </c>
    </row>
    <row r="11" customFormat="false" ht="15" hidden="false" customHeight="false" outlineLevel="0" collapsed="false">
      <c r="B11" s="0" t="s">
        <v>55</v>
      </c>
      <c r="C11" s="0" t="s">
        <v>6</v>
      </c>
      <c r="D11" s="4" t="n">
        <v>120000</v>
      </c>
      <c r="E11" s="7" t="n">
        <f aca="false">D11*(1+Assumptions!$C$17)</f>
        <v>124200</v>
      </c>
    </row>
    <row r="12" customFormat="false" ht="15" hidden="false" customHeight="false" outlineLevel="0" collapsed="false">
      <c r="B12" s="0" t="s">
        <v>56</v>
      </c>
      <c r="C12" s="0" t="s">
        <v>7</v>
      </c>
      <c r="D12" s="4" t="n">
        <v>75000</v>
      </c>
      <c r="E12" s="7" t="n">
        <f aca="false">D12*(1+Assumptions!$C$17)</f>
        <v>77625</v>
      </c>
    </row>
    <row r="13" customFormat="false" ht="15" hidden="false" customHeight="false" outlineLevel="0" collapsed="false">
      <c r="B13" s="0" t="s">
        <v>57</v>
      </c>
      <c r="C13" s="0" t="s">
        <v>6</v>
      </c>
      <c r="D13" s="4" t="n">
        <v>100000</v>
      </c>
      <c r="E13" s="7" t="n">
        <f aca="false">D13*(1+Assumptions!$C$17)</f>
        <v>103500</v>
      </c>
    </row>
    <row r="14" customFormat="false" ht="15" hidden="false" customHeight="false" outlineLevel="0" collapsed="false">
      <c r="B14" s="0" t="s">
        <v>58</v>
      </c>
      <c r="C14" s="0" t="s">
        <v>6</v>
      </c>
      <c r="D14" s="4" t="n">
        <v>155000</v>
      </c>
      <c r="E14" s="7" t="n">
        <f aca="false">D14*(1+Assumptions!$C$17)</f>
        <v>160425</v>
      </c>
    </row>
    <row r="15" customFormat="false" ht="15" hidden="false" customHeight="false" outlineLevel="0" collapsed="false">
      <c r="B15" s="0" t="s">
        <v>59</v>
      </c>
      <c r="C15" s="0" t="s">
        <v>6</v>
      </c>
      <c r="D15" s="4" t="n">
        <v>80000</v>
      </c>
      <c r="E15" s="7" t="n">
        <f aca="false">D15*(1+Assumptions!$C$17)</f>
        <v>82800</v>
      </c>
    </row>
    <row r="16" customFormat="false" ht="15" hidden="false" customHeight="false" outlineLevel="0" collapsed="false">
      <c r="B16" s="0" t="s">
        <v>60</v>
      </c>
      <c r="C16" s="0" t="s">
        <v>7</v>
      </c>
      <c r="D16" s="4" t="n">
        <v>55000</v>
      </c>
      <c r="E16" s="7" t="n">
        <f aca="false">D16*(1+Assumptions!$C$17)</f>
        <v>56925</v>
      </c>
    </row>
    <row r="17" customFormat="false" ht="15" hidden="false" customHeight="false" outlineLevel="0" collapsed="false">
      <c r="B17" s="0" t="s">
        <v>61</v>
      </c>
      <c r="C17" s="0" t="s">
        <v>6</v>
      </c>
      <c r="D17" s="4" t="n">
        <v>75000</v>
      </c>
      <c r="E17" s="7" t="n">
        <f aca="false">D17*(1+Assumptions!$C$17)</f>
        <v>77625</v>
      </c>
    </row>
    <row r="18" customFormat="false" ht="15" hidden="false" customHeight="false" outlineLevel="0" collapsed="false">
      <c r="B18" s="0" t="s">
        <v>62</v>
      </c>
      <c r="C18" s="0" t="s">
        <v>7</v>
      </c>
      <c r="D18" s="4" t="n">
        <v>48000</v>
      </c>
      <c r="E18" s="7" t="n">
        <f aca="false">D18*(1+Assumptions!$C$17)</f>
        <v>49680</v>
      </c>
    </row>
    <row r="19" customFormat="false" ht="15" hidden="false" customHeight="false" outlineLevel="0" collapsed="false">
      <c r="B19" s="0" t="s">
        <v>63</v>
      </c>
      <c r="C19" s="0" t="s">
        <v>6</v>
      </c>
      <c r="D19" s="4" t="n">
        <v>125000</v>
      </c>
      <c r="E19" s="7" t="n">
        <f aca="false">D19*(1+Assumptions!$C$17)</f>
        <v>129375</v>
      </c>
    </row>
    <row r="20" customFormat="false" ht="15" hidden="false" customHeight="false" outlineLevel="0" collapsed="false">
      <c r="B20" s="0" t="s">
        <v>64</v>
      </c>
      <c r="C20" s="0" t="s">
        <v>7</v>
      </c>
      <c r="D20" s="4" t="n">
        <v>48000</v>
      </c>
      <c r="E20" s="7" t="n">
        <f aca="false">D20*(1+Assumptions!$C$17)</f>
        <v>49680</v>
      </c>
    </row>
    <row r="21" customFormat="false" ht="15" hidden="false" customHeight="false" outlineLevel="0" collapsed="false">
      <c r="B21" s="0" t="s">
        <v>65</v>
      </c>
      <c r="C21" s="0" t="s">
        <v>7</v>
      </c>
      <c r="D21" s="4" t="n">
        <v>38000</v>
      </c>
      <c r="E21" s="7" t="n">
        <f aca="false">D21*(1+Assumptions!$C$17)</f>
        <v>39330</v>
      </c>
    </row>
    <row r="22" customFormat="false" ht="15" hidden="false" customHeight="false" outlineLevel="0" collapsed="false">
      <c r="B22" s="0" t="s">
        <v>66</v>
      </c>
      <c r="C22" s="0" t="s">
        <v>6</v>
      </c>
      <c r="D22" s="4" t="n">
        <v>95000</v>
      </c>
      <c r="E22" s="7" t="n">
        <f aca="false">D22*(1+Assumptions!$C$17)</f>
        <v>98325</v>
      </c>
    </row>
    <row r="23" customFormat="false" ht="15" hidden="false" customHeight="false" outlineLevel="0" collapsed="false">
      <c r="B23" s="0" t="s">
        <v>67</v>
      </c>
      <c r="C23" s="0" t="s">
        <v>7</v>
      </c>
      <c r="D23" s="4" t="n">
        <v>58000</v>
      </c>
      <c r="E23" s="7" t="n">
        <f aca="false">D23*(1+Assumptions!$C$17)</f>
        <v>60030</v>
      </c>
    </row>
    <row r="24" customFormat="false" ht="15" hidden="false" customHeight="false" outlineLevel="0" collapsed="false">
      <c r="B24" s="0" t="s">
        <v>68</v>
      </c>
      <c r="C24" s="0" t="s">
        <v>6</v>
      </c>
      <c r="D24" s="4" t="n">
        <v>90000</v>
      </c>
      <c r="E24" s="7" t="n">
        <f aca="false">D24*(1+Assumptions!$C$17)</f>
        <v>93150</v>
      </c>
    </row>
    <row r="26" customFormat="false" ht="15" hidden="false" customHeight="false" outlineLevel="0" collapsed="false">
      <c r="B26" s="3" t="s">
        <v>69</v>
      </c>
      <c r="D26" s="5" t="n">
        <f aca="false">SUM(D5:D24)</f>
        <v>2122000</v>
      </c>
      <c r="E26" s="5" t="n">
        <f aca="false">SUM(E5:E24)</f>
        <v>2196270</v>
      </c>
    </row>
    <row r="27" customFormat="false" ht="15" hidden="false" customHeight="false" outlineLevel="0" collapsed="false">
      <c r="B27" s="0" t="s">
        <v>70</v>
      </c>
      <c r="D27" s="7" t="n">
        <f aca="false">SUMIF(C5:C24,"Lumin Light USA",D5:D24)</f>
        <v>1685000</v>
      </c>
      <c r="E27" s="7" t="n">
        <f aca="false">SUMIF(C5:C24,"Lumin Light USA",E5:E24)</f>
        <v>1743975</v>
      </c>
    </row>
    <row r="28" customFormat="false" ht="15" hidden="false" customHeight="false" outlineLevel="0" collapsed="false">
      <c r="B28" s="0" t="s">
        <v>71</v>
      </c>
      <c r="D28" s="7" t="n">
        <f aca="false">SUMIF(C5:C24,"Lumin Light Nigeria",D5:D24)</f>
        <v>437000</v>
      </c>
      <c r="E28" s="7" t="n">
        <f aca="false">SUMIF(C5:C24,"Lumin Light Nigeria",E5:E24)</f>
        <v>452295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28" min="3" style="0" width="11"/>
  </cols>
  <sheetData>
    <row r="1" customFormat="false" ht="17.35" hidden="false" customHeight="false" outlineLevel="0" collapsed="false">
      <c r="B1" s="1" t="s">
        <v>72</v>
      </c>
    </row>
    <row r="2" customFormat="false" ht="15" hidden="false" customHeight="false" outlineLevel="0" collapsed="false">
      <c r="C2" s="3" t="s">
        <v>73</v>
      </c>
      <c r="P2" s="3" t="s">
        <v>74</v>
      </c>
    </row>
    <row r="3" customFormat="false" ht="15" hidden="false" customHeight="false" outlineLevel="0" collapsed="false">
      <c r="C3" s="3" t="s">
        <v>75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75</v>
      </c>
      <c r="Q3" s="3" t="s">
        <v>29</v>
      </c>
      <c r="R3" s="3" t="s">
        <v>30</v>
      </c>
      <c r="S3" s="3" t="s">
        <v>31</v>
      </c>
      <c r="T3" s="3" t="s">
        <v>32</v>
      </c>
      <c r="U3" s="3" t="s">
        <v>33</v>
      </c>
      <c r="V3" s="3" t="s">
        <v>34</v>
      </c>
      <c r="W3" s="3" t="s">
        <v>35</v>
      </c>
      <c r="X3" s="3" t="s">
        <v>36</v>
      </c>
      <c r="Y3" s="3" t="s">
        <v>37</v>
      </c>
      <c r="Z3" s="3" t="s">
        <v>38</v>
      </c>
      <c r="AA3" s="3" t="s">
        <v>39</v>
      </c>
      <c r="AB3" s="3" t="s">
        <v>40</v>
      </c>
    </row>
    <row r="6" customFormat="false" ht="15" hidden="false" customHeight="false" outlineLevel="0" collapsed="false">
      <c r="B6" s="3" t="s">
        <v>76</v>
      </c>
      <c r="C6" s="5" t="n">
        <f aca="false">SUM(D6:O6)</f>
        <v>7850000</v>
      </c>
      <c r="D6" s="11" t="n">
        <f aca="false">Assumptions!$C$6*Assumptions!$C$32/SUM(Assumptions!$C$32:$N$32)</f>
        <v>556041.666666667</v>
      </c>
      <c r="E6" s="11" t="n">
        <f aca="false">Assumptions!$C$6*Assumptions!$D$32/SUM(Assumptions!$C$32:$N$32)</f>
        <v>556041.666666667</v>
      </c>
      <c r="F6" s="11" t="n">
        <f aca="false">Assumptions!$C$6*Assumptions!$E$32/SUM(Assumptions!$C$32:$N$32)</f>
        <v>588750</v>
      </c>
      <c r="G6" s="11" t="n">
        <f aca="false">Assumptions!$C$6*Assumptions!$F$32/SUM(Assumptions!$C$32:$N$32)</f>
        <v>588750</v>
      </c>
      <c r="H6" s="11" t="n">
        <f aca="false">Assumptions!$C$6*Assumptions!$G$32/SUM(Assumptions!$C$32:$N$32)</f>
        <v>621458.333333333</v>
      </c>
      <c r="I6" s="11" t="n">
        <f aca="false">Assumptions!$C$6*Assumptions!$H$32/SUM(Assumptions!$C$32:$N$32)</f>
        <v>654166.666666667</v>
      </c>
      <c r="J6" s="11" t="n">
        <f aca="false">Assumptions!$C$6*Assumptions!$I$32/SUM(Assumptions!$C$32:$N$32)</f>
        <v>621458.333333333</v>
      </c>
      <c r="K6" s="11" t="n">
        <f aca="false">Assumptions!$C$6*Assumptions!$J$32/SUM(Assumptions!$C$32:$N$32)</f>
        <v>588750</v>
      </c>
      <c r="L6" s="11" t="n">
        <f aca="false">Assumptions!$C$6*Assumptions!$K$32/SUM(Assumptions!$C$32:$N$32)</f>
        <v>654166.666666667</v>
      </c>
      <c r="M6" s="11" t="n">
        <f aca="false">Assumptions!$C$6*Assumptions!$L$32/SUM(Assumptions!$C$32:$N$32)</f>
        <v>686875</v>
      </c>
      <c r="N6" s="11" t="n">
        <f aca="false">Assumptions!$C$6*Assumptions!$M$32/SUM(Assumptions!$C$32:$N$32)</f>
        <v>850416.666666667</v>
      </c>
      <c r="O6" s="11" t="n">
        <f aca="false">Assumptions!$C$6*Assumptions!$N$32/SUM(Assumptions!$C$32:$N$32)</f>
        <v>883125</v>
      </c>
      <c r="P6" s="5" t="n">
        <f aca="false">SUM(Q6:AB6)</f>
        <v>9000000</v>
      </c>
      <c r="Q6" s="11" t="n">
        <f aca="false">Assumptions!$D$6*Assumptions!$C$32/SUM(Assumptions!$C$32:$N$32)</f>
        <v>637500</v>
      </c>
      <c r="R6" s="11" t="n">
        <f aca="false">Assumptions!$D$6*Assumptions!$D$32/SUM(Assumptions!$C$32:$N$32)</f>
        <v>637500</v>
      </c>
      <c r="S6" s="11" t="n">
        <f aca="false">Assumptions!$D$6*Assumptions!$E$32/SUM(Assumptions!$C$32:$N$32)</f>
        <v>675000</v>
      </c>
      <c r="T6" s="11" t="n">
        <f aca="false">Assumptions!$D$6*Assumptions!$F$32/SUM(Assumptions!$C$32:$N$32)</f>
        <v>675000</v>
      </c>
      <c r="U6" s="11" t="n">
        <f aca="false">Assumptions!$D$6*Assumptions!$G$32/SUM(Assumptions!$C$32:$N$32)</f>
        <v>712500</v>
      </c>
      <c r="V6" s="11" t="n">
        <f aca="false">Assumptions!$D$6*Assumptions!$H$32/SUM(Assumptions!$C$32:$N$32)</f>
        <v>750000</v>
      </c>
      <c r="W6" s="11" t="n">
        <f aca="false">Assumptions!$D$6*Assumptions!$I$32/SUM(Assumptions!$C$32:$N$32)</f>
        <v>712500</v>
      </c>
      <c r="X6" s="11" t="n">
        <f aca="false">Assumptions!$D$6*Assumptions!$J$32/SUM(Assumptions!$C$32:$N$32)</f>
        <v>675000</v>
      </c>
      <c r="Y6" s="11" t="n">
        <f aca="false">Assumptions!$D$6*Assumptions!$K$32/SUM(Assumptions!$C$32:$N$32)</f>
        <v>750000</v>
      </c>
      <c r="Z6" s="11" t="n">
        <f aca="false">Assumptions!$D$6*Assumptions!$L$32/SUM(Assumptions!$C$32:$N$32)</f>
        <v>787500</v>
      </c>
      <c r="AA6" s="11" t="n">
        <f aca="false">Assumptions!$D$6*Assumptions!$M$32/SUM(Assumptions!$C$32:$N$32)</f>
        <v>975000</v>
      </c>
      <c r="AB6" s="11" t="n">
        <f aca="false">Assumptions!$D$6*Assumptions!$N$32/SUM(Assumptions!$C$32:$N$32)</f>
        <v>1012500</v>
      </c>
    </row>
    <row r="9" customFormat="false" ht="15" hidden="false" customHeight="false" outlineLevel="0" collapsed="false">
      <c r="B9" s="0" t="s">
        <v>77</v>
      </c>
      <c r="C9" s="7" t="n">
        <f aca="false">SUM(D9:O9)</f>
        <v>4136950</v>
      </c>
      <c r="D9" s="11" t="n">
        <f aca="false">D6*(1-Assumptions!$C$11)</f>
        <v>293033.958333333</v>
      </c>
      <c r="E9" s="11" t="n">
        <f aca="false">E6*(1-Assumptions!$C$11)</f>
        <v>293033.958333333</v>
      </c>
      <c r="F9" s="11" t="n">
        <f aca="false">F6*(1-Assumptions!$C$11)</f>
        <v>310271.25</v>
      </c>
      <c r="G9" s="11" t="n">
        <f aca="false">G6*(1-Assumptions!$C$11)</f>
        <v>310271.25</v>
      </c>
      <c r="H9" s="11" t="n">
        <f aca="false">H6*(1-Assumptions!$C$11)</f>
        <v>327508.541666667</v>
      </c>
      <c r="I9" s="11" t="n">
        <f aca="false">I6*(1-Assumptions!$C$11)</f>
        <v>344745.833333333</v>
      </c>
      <c r="J9" s="11" t="n">
        <f aca="false">J6*(1-Assumptions!$C$11)</f>
        <v>327508.541666667</v>
      </c>
      <c r="K9" s="11" t="n">
        <f aca="false">K6*(1-Assumptions!$C$11)</f>
        <v>310271.25</v>
      </c>
      <c r="L9" s="11" t="n">
        <f aca="false">L6*(1-Assumptions!$C$11)</f>
        <v>344745.833333333</v>
      </c>
      <c r="M9" s="11" t="n">
        <f aca="false">M6*(1-Assumptions!$C$11)</f>
        <v>361983.125</v>
      </c>
      <c r="N9" s="11" t="n">
        <f aca="false">N6*(1-Assumptions!$C$11)</f>
        <v>448169.583333333</v>
      </c>
      <c r="O9" s="11" t="n">
        <f aca="false">O6*(1-Assumptions!$C$11)</f>
        <v>465406.875</v>
      </c>
      <c r="P9" s="7" t="n">
        <f aca="false">SUM(Q9:AB9)</f>
        <v>4743000</v>
      </c>
      <c r="Q9" s="11" t="n">
        <f aca="false">Q6*(1-Assumptions!$C$11)</f>
        <v>335962.5</v>
      </c>
      <c r="R9" s="11" t="n">
        <f aca="false">R6*(1-Assumptions!$C$11)</f>
        <v>335962.5</v>
      </c>
      <c r="S9" s="11" t="n">
        <f aca="false">S6*(1-Assumptions!$C$11)</f>
        <v>355725</v>
      </c>
      <c r="T9" s="11" t="n">
        <f aca="false">T6*(1-Assumptions!$C$11)</f>
        <v>355725</v>
      </c>
      <c r="U9" s="11" t="n">
        <f aca="false">U6*(1-Assumptions!$C$11)</f>
        <v>375487.5</v>
      </c>
      <c r="V9" s="11" t="n">
        <f aca="false">V6*(1-Assumptions!$C$11)</f>
        <v>395250</v>
      </c>
      <c r="W9" s="11" t="n">
        <f aca="false">W6*(1-Assumptions!$C$11)</f>
        <v>375487.5</v>
      </c>
      <c r="X9" s="11" t="n">
        <f aca="false">X6*(1-Assumptions!$C$11)</f>
        <v>355725</v>
      </c>
      <c r="Y9" s="11" t="n">
        <f aca="false">Y6*(1-Assumptions!$C$11)</f>
        <v>395250</v>
      </c>
      <c r="Z9" s="11" t="n">
        <f aca="false">Z6*(1-Assumptions!$C$11)</f>
        <v>415012.5</v>
      </c>
      <c r="AA9" s="11" t="n">
        <f aca="false">AA6*(1-Assumptions!$C$11)</f>
        <v>513825</v>
      </c>
      <c r="AB9" s="11" t="n">
        <f aca="false">AB6*(1-Assumptions!$C$11)</f>
        <v>533587.5</v>
      </c>
    </row>
    <row r="11" customFormat="false" ht="15" hidden="false" customHeight="false" outlineLevel="0" collapsed="false">
      <c r="B11" s="3" t="s">
        <v>78</v>
      </c>
      <c r="C11" s="5" t="n">
        <f aca="false">SUM(D11:O11)</f>
        <v>3713050</v>
      </c>
      <c r="D11" s="7" t="n">
        <f aca="false">D6-D9</f>
        <v>263007.708333333</v>
      </c>
      <c r="E11" s="7" t="n">
        <f aca="false">E6-E9</f>
        <v>263007.708333333</v>
      </c>
      <c r="F11" s="7" t="n">
        <f aca="false">F6-F9</f>
        <v>278478.75</v>
      </c>
      <c r="G11" s="7" t="n">
        <f aca="false">G6-G9</f>
        <v>278478.75</v>
      </c>
      <c r="H11" s="7" t="n">
        <f aca="false">H6-H9</f>
        <v>293949.791666667</v>
      </c>
      <c r="I11" s="7" t="n">
        <f aca="false">I6-I9</f>
        <v>309420.833333333</v>
      </c>
      <c r="J11" s="7" t="n">
        <f aca="false">J6-J9</f>
        <v>293949.791666667</v>
      </c>
      <c r="K11" s="7" t="n">
        <f aca="false">K6-K9</f>
        <v>278478.75</v>
      </c>
      <c r="L11" s="7" t="n">
        <f aca="false">L6-L9</f>
        <v>309420.833333333</v>
      </c>
      <c r="M11" s="7" t="n">
        <f aca="false">M6-M9</f>
        <v>324891.875</v>
      </c>
      <c r="N11" s="7" t="n">
        <f aca="false">N6-N9</f>
        <v>402247.083333333</v>
      </c>
      <c r="O11" s="7" t="n">
        <f aca="false">O6-O9</f>
        <v>417718.125</v>
      </c>
      <c r="P11" s="5" t="n">
        <f aca="false">SUM(Q11:AB11)</f>
        <v>4257000</v>
      </c>
      <c r="Q11" s="7" t="n">
        <f aca="false">Q6-Q9</f>
        <v>301537.5</v>
      </c>
      <c r="R11" s="7" t="n">
        <f aca="false">R6-R9</f>
        <v>301537.5</v>
      </c>
      <c r="S11" s="7" t="n">
        <f aca="false">S6-S9</f>
        <v>319275</v>
      </c>
      <c r="T11" s="7" t="n">
        <f aca="false">T6-T9</f>
        <v>319275</v>
      </c>
      <c r="U11" s="7" t="n">
        <f aca="false">U6-U9</f>
        <v>337012.5</v>
      </c>
      <c r="V11" s="7" t="n">
        <f aca="false">V6-V9</f>
        <v>354750</v>
      </c>
      <c r="W11" s="7" t="n">
        <f aca="false">W6-W9</f>
        <v>337012.5</v>
      </c>
      <c r="X11" s="7" t="n">
        <f aca="false">X6-X9</f>
        <v>319275</v>
      </c>
      <c r="Y11" s="7" t="n">
        <f aca="false">Y6-Y9</f>
        <v>354750</v>
      </c>
      <c r="Z11" s="7" t="n">
        <f aca="false">Z6-Z9</f>
        <v>372487.5</v>
      </c>
      <c r="AA11" s="7" t="n">
        <f aca="false">AA6-AA9</f>
        <v>461175</v>
      </c>
      <c r="AB11" s="7" t="n">
        <f aca="false">AB6-AB9</f>
        <v>478912.5</v>
      </c>
    </row>
    <row r="12" customFormat="false" ht="15" hidden="false" customHeight="false" outlineLevel="0" collapsed="false">
      <c r="B12" s="12" t="s">
        <v>79</v>
      </c>
      <c r="C12" s="13" t="n">
        <f aca="false">IF(C6=0,0,C11/C6)</f>
        <v>0.473</v>
      </c>
      <c r="D12" s="13" t="n">
        <f aca="false">IF(D6=0,0,D11/D6)</f>
        <v>0.473</v>
      </c>
      <c r="E12" s="13" t="n">
        <f aca="false">IF(E6=0,0,E11/E6)</f>
        <v>0.473</v>
      </c>
      <c r="F12" s="13" t="n">
        <f aca="false">IF(F6=0,0,F11/F6)</f>
        <v>0.473</v>
      </c>
      <c r="G12" s="13" t="n">
        <f aca="false">IF(G6=0,0,G11/G6)</f>
        <v>0.473</v>
      </c>
      <c r="H12" s="13" t="n">
        <f aca="false">IF(H6=0,0,H11/H6)</f>
        <v>0.473</v>
      </c>
      <c r="I12" s="13" t="n">
        <f aca="false">IF(I6=0,0,I11/I6)</f>
        <v>0.473</v>
      </c>
      <c r="J12" s="13" t="n">
        <f aca="false">IF(J6=0,0,J11/J6)</f>
        <v>0.473</v>
      </c>
      <c r="K12" s="13" t="n">
        <f aca="false">IF(K6=0,0,K11/K6)</f>
        <v>0.473</v>
      </c>
      <c r="L12" s="13" t="n">
        <f aca="false">IF(L6=0,0,L11/L6)</f>
        <v>0.473</v>
      </c>
      <c r="M12" s="13" t="n">
        <f aca="false">IF(M6=0,0,M11/M6)</f>
        <v>0.473</v>
      </c>
      <c r="N12" s="13" t="n">
        <f aca="false">IF(N6=0,0,N11/N6)</f>
        <v>0.473</v>
      </c>
      <c r="O12" s="13" t="n">
        <f aca="false">IF(O6=0,0,O11/O6)</f>
        <v>0.473</v>
      </c>
      <c r="P12" s="13" t="n">
        <f aca="false">IF(P6=0,0,P11/P6)</f>
        <v>0.473</v>
      </c>
      <c r="Q12" s="13" t="n">
        <f aca="false">IF(Q6=0,0,Q11/Q6)</f>
        <v>0.473</v>
      </c>
      <c r="R12" s="13" t="n">
        <f aca="false">IF(R6=0,0,R11/R6)</f>
        <v>0.473</v>
      </c>
      <c r="S12" s="13" t="n">
        <f aca="false">IF(S6=0,0,S11/S6)</f>
        <v>0.473</v>
      </c>
      <c r="T12" s="13" t="n">
        <f aca="false">IF(T6=0,0,T11/T6)</f>
        <v>0.473</v>
      </c>
      <c r="U12" s="13" t="n">
        <f aca="false">IF(U6=0,0,U11/U6)</f>
        <v>0.473</v>
      </c>
      <c r="V12" s="13" t="n">
        <f aca="false">IF(V6=0,0,V11/V6)</f>
        <v>0.473</v>
      </c>
      <c r="W12" s="13" t="n">
        <f aca="false">IF(W6=0,0,W11/W6)</f>
        <v>0.473</v>
      </c>
      <c r="X12" s="13" t="n">
        <f aca="false">IF(X6=0,0,X11/X6)</f>
        <v>0.473</v>
      </c>
      <c r="Y12" s="13" t="n">
        <f aca="false">IF(Y6=0,0,Y11/Y6)</f>
        <v>0.473</v>
      </c>
      <c r="Z12" s="13" t="n">
        <f aca="false">IF(Z6=0,0,Z11/Z6)</f>
        <v>0.473</v>
      </c>
      <c r="AA12" s="13" t="n">
        <f aca="false">IF(AA6=0,0,AA11/AA6)</f>
        <v>0.473</v>
      </c>
      <c r="AB12" s="13" t="n">
        <f aca="false">IF(AB6=0,0,AB11/AB6)</f>
        <v>0.473</v>
      </c>
    </row>
    <row r="14" customFormat="false" ht="15" hidden="false" customHeight="false" outlineLevel="0" collapsed="false">
      <c r="B14" s="3" t="s">
        <v>80</v>
      </c>
    </row>
    <row r="15" customFormat="false" ht="15" hidden="false" customHeight="false" outlineLevel="0" collapsed="false">
      <c r="B15" s="0" t="s">
        <v>81</v>
      </c>
      <c r="C15" s="7" t="n">
        <f aca="false">SUM(D15:O15)</f>
        <v>2106250</v>
      </c>
      <c r="D15" s="11" t="n">
        <f aca="false">Headcount!$D$27*(1+Assumptions!$C$15)/12</f>
        <v>175520.833333333</v>
      </c>
      <c r="E15" s="11" t="n">
        <f aca="false">Headcount!$D$27*(1+Assumptions!$C$15)/12</f>
        <v>175520.833333333</v>
      </c>
      <c r="F15" s="11" t="n">
        <f aca="false">Headcount!$D$27*(1+Assumptions!$C$15)/12</f>
        <v>175520.833333333</v>
      </c>
      <c r="G15" s="11" t="n">
        <f aca="false">Headcount!$D$27*(1+Assumptions!$C$15)/12</f>
        <v>175520.833333333</v>
      </c>
      <c r="H15" s="11" t="n">
        <f aca="false">Headcount!$D$27*(1+Assumptions!$C$15)/12</f>
        <v>175520.833333333</v>
      </c>
      <c r="I15" s="11" t="n">
        <f aca="false">Headcount!$D$27*(1+Assumptions!$C$15)/12</f>
        <v>175520.833333333</v>
      </c>
      <c r="J15" s="11" t="n">
        <f aca="false">Headcount!$D$27*(1+Assumptions!$C$15)/12</f>
        <v>175520.833333333</v>
      </c>
      <c r="K15" s="11" t="n">
        <f aca="false">Headcount!$D$27*(1+Assumptions!$C$15)/12</f>
        <v>175520.833333333</v>
      </c>
      <c r="L15" s="11" t="n">
        <f aca="false">Headcount!$D$27*(1+Assumptions!$C$15)/12</f>
        <v>175520.833333333</v>
      </c>
      <c r="M15" s="11" t="n">
        <f aca="false">Headcount!$D$27*(1+Assumptions!$C$15)/12</f>
        <v>175520.833333333</v>
      </c>
      <c r="N15" s="11" t="n">
        <f aca="false">Headcount!$D$27*(1+Assumptions!$C$15)/12</f>
        <v>175520.833333333</v>
      </c>
      <c r="O15" s="11" t="n">
        <f aca="false">Headcount!$D$27*(1+Assumptions!$C$15)/12</f>
        <v>175520.833333333</v>
      </c>
      <c r="P15" s="7" t="n">
        <f aca="false">SUM(Q15:AB15)</f>
        <v>2179968.75</v>
      </c>
      <c r="Q15" s="11" t="n">
        <f aca="false">Headcount!$E$27*(1+Assumptions!$C$15)/12</f>
        <v>181664.0625</v>
      </c>
      <c r="R15" s="11" t="n">
        <f aca="false">Headcount!$E$27*(1+Assumptions!$C$15)/12</f>
        <v>181664.0625</v>
      </c>
      <c r="S15" s="11" t="n">
        <f aca="false">Headcount!$E$27*(1+Assumptions!$C$15)/12</f>
        <v>181664.0625</v>
      </c>
      <c r="T15" s="11" t="n">
        <f aca="false">Headcount!$E$27*(1+Assumptions!$C$15)/12</f>
        <v>181664.0625</v>
      </c>
      <c r="U15" s="11" t="n">
        <f aca="false">Headcount!$E$27*(1+Assumptions!$C$15)/12</f>
        <v>181664.0625</v>
      </c>
      <c r="V15" s="11" t="n">
        <f aca="false">Headcount!$E$27*(1+Assumptions!$C$15)/12</f>
        <v>181664.0625</v>
      </c>
      <c r="W15" s="11" t="n">
        <f aca="false">Headcount!$E$27*(1+Assumptions!$C$15)/12</f>
        <v>181664.0625</v>
      </c>
      <c r="X15" s="11" t="n">
        <f aca="false">Headcount!$E$27*(1+Assumptions!$C$15)/12</f>
        <v>181664.0625</v>
      </c>
      <c r="Y15" s="11" t="n">
        <f aca="false">Headcount!$E$27*(1+Assumptions!$C$15)/12</f>
        <v>181664.0625</v>
      </c>
      <c r="Z15" s="11" t="n">
        <f aca="false">Headcount!$E$27*(1+Assumptions!$C$15)/12</f>
        <v>181664.0625</v>
      </c>
      <c r="AA15" s="11" t="n">
        <f aca="false">Headcount!$E$27*(1+Assumptions!$C$15)/12</f>
        <v>181664.0625</v>
      </c>
      <c r="AB15" s="11" t="n">
        <f aca="false">Headcount!$E$27*(1+Assumptions!$C$15)/12</f>
        <v>181664.0625</v>
      </c>
    </row>
    <row r="16" customFormat="false" ht="15" hidden="false" customHeight="false" outlineLevel="0" collapsed="false">
      <c r="B16" s="0" t="s">
        <v>82</v>
      </c>
      <c r="C16" s="7" t="n">
        <f aca="false">SUM(D16:O16)</f>
        <v>157000</v>
      </c>
      <c r="D16" s="11" t="n">
        <f aca="false">D6*Assumptions!$C$16</f>
        <v>11120.8333333333</v>
      </c>
      <c r="E16" s="11" t="n">
        <f aca="false">E6*Assumptions!$C$16</f>
        <v>11120.8333333333</v>
      </c>
      <c r="F16" s="11" t="n">
        <f aca="false">F6*Assumptions!$C$16</f>
        <v>11775</v>
      </c>
      <c r="G16" s="11" t="n">
        <f aca="false">G6*Assumptions!$C$16</f>
        <v>11775</v>
      </c>
      <c r="H16" s="11" t="n">
        <f aca="false">H6*Assumptions!$C$16</f>
        <v>12429.1666666667</v>
      </c>
      <c r="I16" s="11" t="n">
        <f aca="false">I6*Assumptions!$C$16</f>
        <v>13083.3333333333</v>
      </c>
      <c r="J16" s="11" t="n">
        <f aca="false">J6*Assumptions!$C$16</f>
        <v>12429.1666666667</v>
      </c>
      <c r="K16" s="11" t="n">
        <f aca="false">K6*Assumptions!$C$16</f>
        <v>11775</v>
      </c>
      <c r="L16" s="11" t="n">
        <f aca="false">L6*Assumptions!$C$16</f>
        <v>13083.3333333333</v>
      </c>
      <c r="M16" s="11" t="n">
        <f aca="false">M6*Assumptions!$C$16</f>
        <v>13737.5</v>
      </c>
      <c r="N16" s="11" t="n">
        <f aca="false">N6*Assumptions!$C$16</f>
        <v>17008.3333333333</v>
      </c>
      <c r="O16" s="11" t="n">
        <f aca="false">O6*Assumptions!$C$16</f>
        <v>17662.5</v>
      </c>
      <c r="P16" s="7" t="n">
        <f aca="false">SUM(Q16:AB16)</f>
        <v>180000</v>
      </c>
      <c r="Q16" s="11" t="n">
        <f aca="false">Q6*Assumptions!$C$16</f>
        <v>12750</v>
      </c>
      <c r="R16" s="11" t="n">
        <f aca="false">R6*Assumptions!$C$16</f>
        <v>12750</v>
      </c>
      <c r="S16" s="11" t="n">
        <f aca="false">S6*Assumptions!$C$16</f>
        <v>13500</v>
      </c>
      <c r="T16" s="11" t="n">
        <f aca="false">T6*Assumptions!$C$16</f>
        <v>13500</v>
      </c>
      <c r="U16" s="11" t="n">
        <f aca="false">U6*Assumptions!$C$16</f>
        <v>14250</v>
      </c>
      <c r="V16" s="11" t="n">
        <f aca="false">V6*Assumptions!$C$16</f>
        <v>15000</v>
      </c>
      <c r="W16" s="11" t="n">
        <f aca="false">W6*Assumptions!$C$16</f>
        <v>14250</v>
      </c>
      <c r="X16" s="11" t="n">
        <f aca="false">X6*Assumptions!$C$16</f>
        <v>13500</v>
      </c>
      <c r="Y16" s="11" t="n">
        <f aca="false">Y6*Assumptions!$C$16</f>
        <v>15000</v>
      </c>
      <c r="Z16" s="11" t="n">
        <f aca="false">Z6*Assumptions!$C$16</f>
        <v>15750</v>
      </c>
      <c r="AA16" s="11" t="n">
        <f aca="false">AA6*Assumptions!$C$16</f>
        <v>19500</v>
      </c>
      <c r="AB16" s="11" t="n">
        <f aca="false">AB6*Assumptions!$C$16</f>
        <v>20250</v>
      </c>
    </row>
    <row r="17" customFormat="false" ht="15" hidden="false" customHeight="false" outlineLevel="0" collapsed="false">
      <c r="B17" s="0" t="s">
        <v>22</v>
      </c>
      <c r="C17" s="7" t="n">
        <f aca="false">SUM(D17:O17)</f>
        <v>150000</v>
      </c>
      <c r="D17" s="11" t="n">
        <f aca="false">Assumptions!$C$23/12</f>
        <v>12500</v>
      </c>
      <c r="E17" s="11" t="n">
        <f aca="false">Assumptions!$C$23/12</f>
        <v>12500</v>
      </c>
      <c r="F17" s="11" t="n">
        <f aca="false">Assumptions!$C$23/12</f>
        <v>12500</v>
      </c>
      <c r="G17" s="11" t="n">
        <f aca="false">Assumptions!$C$23/12</f>
        <v>12500</v>
      </c>
      <c r="H17" s="11" t="n">
        <f aca="false">Assumptions!$C$23/12</f>
        <v>12500</v>
      </c>
      <c r="I17" s="11" t="n">
        <f aca="false">Assumptions!$C$23/12</f>
        <v>12500</v>
      </c>
      <c r="J17" s="11" t="n">
        <f aca="false">Assumptions!$C$23/12</f>
        <v>12500</v>
      </c>
      <c r="K17" s="11" t="n">
        <f aca="false">Assumptions!$C$23/12</f>
        <v>12500</v>
      </c>
      <c r="L17" s="11" t="n">
        <f aca="false">Assumptions!$C$23/12</f>
        <v>12500</v>
      </c>
      <c r="M17" s="11" t="n">
        <f aca="false">Assumptions!$C$23/12</f>
        <v>12500</v>
      </c>
      <c r="N17" s="11" t="n">
        <f aca="false">Assumptions!$C$23/12</f>
        <v>12500</v>
      </c>
      <c r="O17" s="11" t="n">
        <f aca="false">Assumptions!$C$23/12</f>
        <v>12500</v>
      </c>
      <c r="P17" s="7" t="n">
        <f aca="false">SUM(Q17:AB17)</f>
        <v>155250</v>
      </c>
      <c r="Q17" s="11" t="n">
        <f aca="false">Assumptions!$C$23*(1+Assumptions!$C$17)/12</f>
        <v>12937.5</v>
      </c>
      <c r="R17" s="11" t="n">
        <f aca="false">Assumptions!$C$23*(1+Assumptions!$C$17)/12</f>
        <v>12937.5</v>
      </c>
      <c r="S17" s="11" t="n">
        <f aca="false">Assumptions!$C$23*(1+Assumptions!$C$17)/12</f>
        <v>12937.5</v>
      </c>
      <c r="T17" s="11" t="n">
        <f aca="false">Assumptions!$C$23*(1+Assumptions!$C$17)/12</f>
        <v>12937.5</v>
      </c>
      <c r="U17" s="11" t="n">
        <f aca="false">Assumptions!$C$23*(1+Assumptions!$C$17)/12</f>
        <v>12937.5</v>
      </c>
      <c r="V17" s="11" t="n">
        <f aca="false">Assumptions!$C$23*(1+Assumptions!$C$17)/12</f>
        <v>12937.5</v>
      </c>
      <c r="W17" s="11" t="n">
        <f aca="false">Assumptions!$C$23*(1+Assumptions!$C$17)/12</f>
        <v>12937.5</v>
      </c>
      <c r="X17" s="11" t="n">
        <f aca="false">Assumptions!$C$23*(1+Assumptions!$C$17)/12</f>
        <v>12937.5</v>
      </c>
      <c r="Y17" s="11" t="n">
        <f aca="false">Assumptions!$C$23*(1+Assumptions!$C$17)/12</f>
        <v>12937.5</v>
      </c>
      <c r="Z17" s="11" t="n">
        <f aca="false">Assumptions!$C$23*(1+Assumptions!$C$17)/12</f>
        <v>12937.5</v>
      </c>
      <c r="AA17" s="11" t="n">
        <f aca="false">Assumptions!$C$23*(1+Assumptions!$C$17)/12</f>
        <v>12937.5</v>
      </c>
      <c r="AB17" s="11" t="n">
        <f aca="false">Assumptions!$C$23*(1+Assumptions!$C$17)/12</f>
        <v>12937.5</v>
      </c>
    </row>
    <row r="18" customFormat="false" ht="15" hidden="false" customHeight="false" outlineLevel="0" collapsed="false">
      <c r="B18" s="0" t="s">
        <v>23</v>
      </c>
      <c r="C18" s="7" t="n">
        <f aca="false">SUM(D18:O18)</f>
        <v>230000</v>
      </c>
      <c r="D18" s="11" t="n">
        <f aca="false">Assumptions!$C$24/12</f>
        <v>19166.6666666667</v>
      </c>
      <c r="E18" s="11" t="n">
        <f aca="false">Assumptions!$C$24/12</f>
        <v>19166.6666666667</v>
      </c>
      <c r="F18" s="11" t="n">
        <f aca="false">Assumptions!$C$24/12</f>
        <v>19166.6666666667</v>
      </c>
      <c r="G18" s="11" t="n">
        <f aca="false">Assumptions!$C$24/12</f>
        <v>19166.6666666667</v>
      </c>
      <c r="H18" s="11" t="n">
        <f aca="false">Assumptions!$C$24/12</f>
        <v>19166.6666666667</v>
      </c>
      <c r="I18" s="11" t="n">
        <f aca="false">Assumptions!$C$24/12</f>
        <v>19166.6666666667</v>
      </c>
      <c r="J18" s="11" t="n">
        <f aca="false">Assumptions!$C$24/12</f>
        <v>19166.6666666667</v>
      </c>
      <c r="K18" s="11" t="n">
        <f aca="false">Assumptions!$C$24/12</f>
        <v>19166.6666666667</v>
      </c>
      <c r="L18" s="11" t="n">
        <f aca="false">Assumptions!$C$24/12</f>
        <v>19166.6666666667</v>
      </c>
      <c r="M18" s="11" t="n">
        <f aca="false">Assumptions!$C$24/12</f>
        <v>19166.6666666667</v>
      </c>
      <c r="N18" s="11" t="n">
        <f aca="false">Assumptions!$C$24/12</f>
        <v>19166.6666666667</v>
      </c>
      <c r="O18" s="11" t="n">
        <f aca="false">Assumptions!$C$24/12</f>
        <v>19166.6666666667</v>
      </c>
      <c r="P18" s="7" t="n">
        <f aca="false">SUM(Q18:AB18)</f>
        <v>238050</v>
      </c>
      <c r="Q18" s="11" t="n">
        <f aca="false">Assumptions!$C$24*(1+Assumptions!$C$17)/12</f>
        <v>19837.5</v>
      </c>
      <c r="R18" s="11" t="n">
        <f aca="false">Assumptions!$C$24*(1+Assumptions!$C$17)/12</f>
        <v>19837.5</v>
      </c>
      <c r="S18" s="11" t="n">
        <f aca="false">Assumptions!$C$24*(1+Assumptions!$C$17)/12</f>
        <v>19837.5</v>
      </c>
      <c r="T18" s="11" t="n">
        <f aca="false">Assumptions!$C$24*(1+Assumptions!$C$17)/12</f>
        <v>19837.5</v>
      </c>
      <c r="U18" s="11" t="n">
        <f aca="false">Assumptions!$C$24*(1+Assumptions!$C$17)/12</f>
        <v>19837.5</v>
      </c>
      <c r="V18" s="11" t="n">
        <f aca="false">Assumptions!$C$24*(1+Assumptions!$C$17)/12</f>
        <v>19837.5</v>
      </c>
      <c r="W18" s="11" t="n">
        <f aca="false">Assumptions!$C$24*(1+Assumptions!$C$17)/12</f>
        <v>19837.5</v>
      </c>
      <c r="X18" s="11" t="n">
        <f aca="false">Assumptions!$C$24*(1+Assumptions!$C$17)/12</f>
        <v>19837.5</v>
      </c>
      <c r="Y18" s="11" t="n">
        <f aca="false">Assumptions!$C$24*(1+Assumptions!$C$17)/12</f>
        <v>19837.5</v>
      </c>
      <c r="Z18" s="11" t="n">
        <f aca="false">Assumptions!$C$24*(1+Assumptions!$C$17)/12</f>
        <v>19837.5</v>
      </c>
      <c r="AA18" s="11" t="n">
        <f aca="false">Assumptions!$C$24*(1+Assumptions!$C$17)/12</f>
        <v>19837.5</v>
      </c>
      <c r="AB18" s="11" t="n">
        <f aca="false">Assumptions!$C$24*(1+Assumptions!$C$17)/12</f>
        <v>19837.5</v>
      </c>
    </row>
    <row r="19" customFormat="false" ht="15" hidden="false" customHeight="false" outlineLevel="0" collapsed="false">
      <c r="B19" s="0" t="s">
        <v>24</v>
      </c>
      <c r="C19" s="7" t="n">
        <f aca="false">SUM(D19:O19)</f>
        <v>140000</v>
      </c>
      <c r="D19" s="11" t="n">
        <f aca="false">Assumptions!$C$25/12</f>
        <v>11666.6666666667</v>
      </c>
      <c r="E19" s="11" t="n">
        <f aca="false">Assumptions!$C$25/12</f>
        <v>11666.6666666667</v>
      </c>
      <c r="F19" s="11" t="n">
        <f aca="false">Assumptions!$C$25/12</f>
        <v>11666.6666666667</v>
      </c>
      <c r="G19" s="11" t="n">
        <f aca="false">Assumptions!$C$25/12</f>
        <v>11666.6666666667</v>
      </c>
      <c r="H19" s="11" t="n">
        <f aca="false">Assumptions!$C$25/12</f>
        <v>11666.6666666667</v>
      </c>
      <c r="I19" s="11" t="n">
        <f aca="false">Assumptions!$C$25/12</f>
        <v>11666.6666666667</v>
      </c>
      <c r="J19" s="11" t="n">
        <f aca="false">Assumptions!$C$25/12</f>
        <v>11666.6666666667</v>
      </c>
      <c r="K19" s="11" t="n">
        <f aca="false">Assumptions!$C$25/12</f>
        <v>11666.6666666667</v>
      </c>
      <c r="L19" s="11" t="n">
        <f aca="false">Assumptions!$C$25/12</f>
        <v>11666.6666666667</v>
      </c>
      <c r="M19" s="11" t="n">
        <f aca="false">Assumptions!$C$25/12</f>
        <v>11666.6666666667</v>
      </c>
      <c r="N19" s="11" t="n">
        <f aca="false">Assumptions!$C$25/12</f>
        <v>11666.6666666667</v>
      </c>
      <c r="O19" s="11" t="n">
        <f aca="false">Assumptions!$C$25/12</f>
        <v>11666.6666666667</v>
      </c>
      <c r="P19" s="7" t="n">
        <f aca="false">SUM(Q19:AB19)</f>
        <v>144900</v>
      </c>
      <c r="Q19" s="11" t="n">
        <f aca="false">Assumptions!$C$25*(1+Assumptions!$C$17)/12</f>
        <v>12075</v>
      </c>
      <c r="R19" s="11" t="n">
        <f aca="false">Assumptions!$C$25*(1+Assumptions!$C$17)/12</f>
        <v>12075</v>
      </c>
      <c r="S19" s="11" t="n">
        <f aca="false">Assumptions!$C$25*(1+Assumptions!$C$17)/12</f>
        <v>12075</v>
      </c>
      <c r="T19" s="11" t="n">
        <f aca="false">Assumptions!$C$25*(1+Assumptions!$C$17)/12</f>
        <v>12075</v>
      </c>
      <c r="U19" s="11" t="n">
        <f aca="false">Assumptions!$C$25*(1+Assumptions!$C$17)/12</f>
        <v>12075</v>
      </c>
      <c r="V19" s="11" t="n">
        <f aca="false">Assumptions!$C$25*(1+Assumptions!$C$17)/12</f>
        <v>12075</v>
      </c>
      <c r="W19" s="11" t="n">
        <f aca="false">Assumptions!$C$25*(1+Assumptions!$C$17)/12</f>
        <v>12075</v>
      </c>
      <c r="X19" s="11" t="n">
        <f aca="false">Assumptions!$C$25*(1+Assumptions!$C$17)/12</f>
        <v>12075</v>
      </c>
      <c r="Y19" s="11" t="n">
        <f aca="false">Assumptions!$C$25*(1+Assumptions!$C$17)/12</f>
        <v>12075</v>
      </c>
      <c r="Z19" s="11" t="n">
        <f aca="false">Assumptions!$C$25*(1+Assumptions!$C$17)/12</f>
        <v>12075</v>
      </c>
      <c r="AA19" s="11" t="n">
        <f aca="false">Assumptions!$C$25*(1+Assumptions!$C$17)/12</f>
        <v>12075</v>
      </c>
      <c r="AB19" s="11" t="n">
        <f aca="false">Assumptions!$C$25*(1+Assumptions!$C$17)/12</f>
        <v>12075</v>
      </c>
    </row>
    <row r="20" customFormat="false" ht="15" hidden="false" customHeight="false" outlineLevel="0" collapsed="false">
      <c r="B20" s="0" t="s">
        <v>25</v>
      </c>
      <c r="C20" s="7" t="n">
        <f aca="false">SUM(D20:O20)</f>
        <v>90000</v>
      </c>
      <c r="D20" s="11" t="n">
        <f aca="false">Assumptions!$C$26/12</f>
        <v>7500</v>
      </c>
      <c r="E20" s="11" t="n">
        <f aca="false">Assumptions!$C$26/12</f>
        <v>7500</v>
      </c>
      <c r="F20" s="11" t="n">
        <f aca="false">Assumptions!$C$26/12</f>
        <v>7500</v>
      </c>
      <c r="G20" s="11" t="n">
        <f aca="false">Assumptions!$C$26/12</f>
        <v>7500</v>
      </c>
      <c r="H20" s="11" t="n">
        <f aca="false">Assumptions!$C$26/12</f>
        <v>7500</v>
      </c>
      <c r="I20" s="11" t="n">
        <f aca="false">Assumptions!$C$26/12</f>
        <v>7500</v>
      </c>
      <c r="J20" s="11" t="n">
        <f aca="false">Assumptions!$C$26/12</f>
        <v>7500</v>
      </c>
      <c r="K20" s="11" t="n">
        <f aca="false">Assumptions!$C$26/12</f>
        <v>7500</v>
      </c>
      <c r="L20" s="11" t="n">
        <f aca="false">Assumptions!$C$26/12</f>
        <v>7500</v>
      </c>
      <c r="M20" s="11" t="n">
        <f aca="false">Assumptions!$C$26/12</f>
        <v>7500</v>
      </c>
      <c r="N20" s="11" t="n">
        <f aca="false">Assumptions!$C$26/12</f>
        <v>7500</v>
      </c>
      <c r="O20" s="11" t="n">
        <f aca="false">Assumptions!$C$26/12</f>
        <v>7500</v>
      </c>
      <c r="P20" s="7" t="n">
        <f aca="false">SUM(Q20:AB20)</f>
        <v>93150</v>
      </c>
      <c r="Q20" s="11" t="n">
        <f aca="false">Assumptions!$C$26*(1+Assumptions!$C$17)/12</f>
        <v>7762.5</v>
      </c>
      <c r="R20" s="11" t="n">
        <f aca="false">Assumptions!$C$26*(1+Assumptions!$C$17)/12</f>
        <v>7762.5</v>
      </c>
      <c r="S20" s="11" t="n">
        <f aca="false">Assumptions!$C$26*(1+Assumptions!$C$17)/12</f>
        <v>7762.5</v>
      </c>
      <c r="T20" s="11" t="n">
        <f aca="false">Assumptions!$C$26*(1+Assumptions!$C$17)/12</f>
        <v>7762.5</v>
      </c>
      <c r="U20" s="11" t="n">
        <f aca="false">Assumptions!$C$26*(1+Assumptions!$C$17)/12</f>
        <v>7762.5</v>
      </c>
      <c r="V20" s="11" t="n">
        <f aca="false">Assumptions!$C$26*(1+Assumptions!$C$17)/12</f>
        <v>7762.5</v>
      </c>
      <c r="W20" s="11" t="n">
        <f aca="false">Assumptions!$C$26*(1+Assumptions!$C$17)/12</f>
        <v>7762.5</v>
      </c>
      <c r="X20" s="11" t="n">
        <f aca="false">Assumptions!$C$26*(1+Assumptions!$C$17)/12</f>
        <v>7762.5</v>
      </c>
      <c r="Y20" s="11" t="n">
        <f aca="false">Assumptions!$C$26*(1+Assumptions!$C$17)/12</f>
        <v>7762.5</v>
      </c>
      <c r="Z20" s="11" t="n">
        <f aca="false">Assumptions!$C$26*(1+Assumptions!$C$17)/12</f>
        <v>7762.5</v>
      </c>
      <c r="AA20" s="11" t="n">
        <f aca="false">Assumptions!$C$26*(1+Assumptions!$C$17)/12</f>
        <v>7762.5</v>
      </c>
      <c r="AB20" s="11" t="n">
        <f aca="false">Assumptions!$C$26*(1+Assumptions!$C$17)/12</f>
        <v>7762.5</v>
      </c>
    </row>
    <row r="21" customFormat="false" ht="15" hidden="false" customHeight="false" outlineLevel="0" collapsed="false">
      <c r="B21" s="0" t="s">
        <v>26</v>
      </c>
      <c r="C21" s="7" t="n">
        <f aca="false">SUM(D21:O21)</f>
        <v>180000</v>
      </c>
      <c r="D21" s="11" t="n">
        <f aca="false">Assumptions!$C$27/12</f>
        <v>15000</v>
      </c>
      <c r="E21" s="11" t="n">
        <f aca="false">Assumptions!$C$27/12</f>
        <v>15000</v>
      </c>
      <c r="F21" s="11" t="n">
        <f aca="false">Assumptions!$C$27/12</f>
        <v>15000</v>
      </c>
      <c r="G21" s="11" t="n">
        <f aca="false">Assumptions!$C$27/12</f>
        <v>15000</v>
      </c>
      <c r="H21" s="11" t="n">
        <f aca="false">Assumptions!$C$27/12</f>
        <v>15000</v>
      </c>
      <c r="I21" s="11" t="n">
        <f aca="false">Assumptions!$C$27/12</f>
        <v>15000</v>
      </c>
      <c r="J21" s="11" t="n">
        <f aca="false">Assumptions!$C$27/12</f>
        <v>15000</v>
      </c>
      <c r="K21" s="11" t="n">
        <f aca="false">Assumptions!$C$27/12</f>
        <v>15000</v>
      </c>
      <c r="L21" s="11" t="n">
        <f aca="false">Assumptions!$C$27/12</f>
        <v>15000</v>
      </c>
      <c r="M21" s="11" t="n">
        <f aca="false">Assumptions!$C$27/12</f>
        <v>15000</v>
      </c>
      <c r="N21" s="11" t="n">
        <f aca="false">Assumptions!$C$27/12</f>
        <v>15000</v>
      </c>
      <c r="O21" s="11" t="n">
        <f aca="false">Assumptions!$C$27/12</f>
        <v>15000</v>
      </c>
      <c r="P21" s="7" t="n">
        <f aca="false">SUM(Q21:AB21)</f>
        <v>186300</v>
      </c>
      <c r="Q21" s="11" t="n">
        <f aca="false">Assumptions!$C$27*(1+Assumptions!$C$17)/12</f>
        <v>15525</v>
      </c>
      <c r="R21" s="11" t="n">
        <f aca="false">Assumptions!$C$27*(1+Assumptions!$C$17)/12</f>
        <v>15525</v>
      </c>
      <c r="S21" s="11" t="n">
        <f aca="false">Assumptions!$C$27*(1+Assumptions!$C$17)/12</f>
        <v>15525</v>
      </c>
      <c r="T21" s="11" t="n">
        <f aca="false">Assumptions!$C$27*(1+Assumptions!$C$17)/12</f>
        <v>15525</v>
      </c>
      <c r="U21" s="11" t="n">
        <f aca="false">Assumptions!$C$27*(1+Assumptions!$C$17)/12</f>
        <v>15525</v>
      </c>
      <c r="V21" s="11" t="n">
        <f aca="false">Assumptions!$C$27*(1+Assumptions!$C$17)/12</f>
        <v>15525</v>
      </c>
      <c r="W21" s="11" t="n">
        <f aca="false">Assumptions!$C$27*(1+Assumptions!$C$17)/12</f>
        <v>15525</v>
      </c>
      <c r="X21" s="11" t="n">
        <f aca="false">Assumptions!$C$27*(1+Assumptions!$C$17)/12</f>
        <v>15525</v>
      </c>
      <c r="Y21" s="11" t="n">
        <f aca="false">Assumptions!$C$27*(1+Assumptions!$C$17)/12</f>
        <v>15525</v>
      </c>
      <c r="Z21" s="11" t="n">
        <f aca="false">Assumptions!$C$27*(1+Assumptions!$C$17)/12</f>
        <v>15525</v>
      </c>
      <c r="AA21" s="11" t="n">
        <f aca="false">Assumptions!$C$27*(1+Assumptions!$C$17)/12</f>
        <v>15525</v>
      </c>
      <c r="AB21" s="11" t="n">
        <f aca="false">Assumptions!$C$27*(1+Assumptions!$C$17)/12</f>
        <v>15525</v>
      </c>
    </row>
    <row r="22" customFormat="false" ht="15" hidden="false" customHeight="false" outlineLevel="0" collapsed="false">
      <c r="B22" s="0" t="s">
        <v>27</v>
      </c>
      <c r="C22" s="7" t="n">
        <f aca="false">SUM(D22:O22)</f>
        <v>140000</v>
      </c>
      <c r="D22" s="11" t="n">
        <f aca="false">Assumptions!$C$28/12</f>
        <v>11666.6666666667</v>
      </c>
      <c r="E22" s="11" t="n">
        <f aca="false">Assumptions!$C$28/12</f>
        <v>11666.6666666667</v>
      </c>
      <c r="F22" s="11" t="n">
        <f aca="false">Assumptions!$C$28/12</f>
        <v>11666.6666666667</v>
      </c>
      <c r="G22" s="11" t="n">
        <f aca="false">Assumptions!$C$28/12</f>
        <v>11666.6666666667</v>
      </c>
      <c r="H22" s="11" t="n">
        <f aca="false">Assumptions!$C$28/12</f>
        <v>11666.6666666667</v>
      </c>
      <c r="I22" s="11" t="n">
        <f aca="false">Assumptions!$C$28/12</f>
        <v>11666.6666666667</v>
      </c>
      <c r="J22" s="11" t="n">
        <f aca="false">Assumptions!$C$28/12</f>
        <v>11666.6666666667</v>
      </c>
      <c r="K22" s="11" t="n">
        <f aca="false">Assumptions!$C$28/12</f>
        <v>11666.6666666667</v>
      </c>
      <c r="L22" s="11" t="n">
        <f aca="false">Assumptions!$C$28/12</f>
        <v>11666.6666666667</v>
      </c>
      <c r="M22" s="11" t="n">
        <f aca="false">Assumptions!$C$28/12</f>
        <v>11666.6666666667</v>
      </c>
      <c r="N22" s="11" t="n">
        <f aca="false">Assumptions!$C$28/12</f>
        <v>11666.6666666667</v>
      </c>
      <c r="O22" s="11" t="n">
        <f aca="false">Assumptions!$C$28/12</f>
        <v>11666.6666666667</v>
      </c>
      <c r="P22" s="7" t="n">
        <f aca="false">SUM(Q22:AB22)</f>
        <v>144900</v>
      </c>
      <c r="Q22" s="11" t="n">
        <f aca="false">Assumptions!$C$28*(1+Assumptions!$C$17)/12</f>
        <v>12075</v>
      </c>
      <c r="R22" s="11" t="n">
        <f aca="false">Assumptions!$C$28*(1+Assumptions!$C$17)/12</f>
        <v>12075</v>
      </c>
      <c r="S22" s="11" t="n">
        <f aca="false">Assumptions!$C$28*(1+Assumptions!$C$17)/12</f>
        <v>12075</v>
      </c>
      <c r="T22" s="11" t="n">
        <f aca="false">Assumptions!$C$28*(1+Assumptions!$C$17)/12</f>
        <v>12075</v>
      </c>
      <c r="U22" s="11" t="n">
        <f aca="false">Assumptions!$C$28*(1+Assumptions!$C$17)/12</f>
        <v>12075</v>
      </c>
      <c r="V22" s="11" t="n">
        <f aca="false">Assumptions!$C$28*(1+Assumptions!$C$17)/12</f>
        <v>12075</v>
      </c>
      <c r="W22" s="11" t="n">
        <f aca="false">Assumptions!$C$28*(1+Assumptions!$C$17)/12</f>
        <v>12075</v>
      </c>
      <c r="X22" s="11" t="n">
        <f aca="false">Assumptions!$C$28*(1+Assumptions!$C$17)/12</f>
        <v>12075</v>
      </c>
      <c r="Y22" s="11" t="n">
        <f aca="false">Assumptions!$C$28*(1+Assumptions!$C$17)/12</f>
        <v>12075</v>
      </c>
      <c r="Z22" s="11" t="n">
        <f aca="false">Assumptions!$C$28*(1+Assumptions!$C$17)/12</f>
        <v>12075</v>
      </c>
      <c r="AA22" s="11" t="n">
        <f aca="false">Assumptions!$C$28*(1+Assumptions!$C$17)/12</f>
        <v>12075</v>
      </c>
      <c r="AB22" s="11" t="n">
        <f aca="false">Assumptions!$C$28*(1+Assumptions!$C$17)/12</f>
        <v>12075</v>
      </c>
    </row>
    <row r="23" customFormat="false" ht="15" hidden="false" customHeight="false" outlineLevel="0" collapsed="false">
      <c r="B23" s="3" t="s">
        <v>83</v>
      </c>
      <c r="C23" s="5" t="n">
        <f aca="false">SUM(D23:O23)</f>
        <v>3193250</v>
      </c>
      <c r="D23" s="5" t="n">
        <f aca="false">SUM(D15:D22)</f>
        <v>264141.666666667</v>
      </c>
      <c r="E23" s="5" t="n">
        <f aca="false">SUM(E15:E22)</f>
        <v>264141.666666667</v>
      </c>
      <c r="F23" s="5" t="n">
        <f aca="false">SUM(F15:F22)</f>
        <v>264795.833333333</v>
      </c>
      <c r="G23" s="5" t="n">
        <f aca="false">SUM(G15:G22)</f>
        <v>264795.833333333</v>
      </c>
      <c r="H23" s="5" t="n">
        <f aca="false">SUM(H15:H22)</f>
        <v>265450</v>
      </c>
      <c r="I23" s="5" t="n">
        <f aca="false">SUM(I15:I22)</f>
        <v>266104.166666667</v>
      </c>
      <c r="J23" s="5" t="n">
        <f aca="false">SUM(J15:J22)</f>
        <v>265450</v>
      </c>
      <c r="K23" s="5" t="n">
        <f aca="false">SUM(K15:K22)</f>
        <v>264795.833333333</v>
      </c>
      <c r="L23" s="5" t="n">
        <f aca="false">SUM(L15:L22)</f>
        <v>266104.166666667</v>
      </c>
      <c r="M23" s="5" t="n">
        <f aca="false">SUM(M15:M22)</f>
        <v>266758.333333333</v>
      </c>
      <c r="N23" s="5" t="n">
        <f aca="false">SUM(N15:N22)</f>
        <v>270029.166666667</v>
      </c>
      <c r="O23" s="5" t="n">
        <f aca="false">SUM(O15:O22)</f>
        <v>270683.333333333</v>
      </c>
      <c r="P23" s="5" t="n">
        <f aca="false">SUM(Q23:AB23)</f>
        <v>3322518.75</v>
      </c>
      <c r="Q23" s="5" t="n">
        <f aca="false">SUM(Q15:Q22)</f>
        <v>274626.5625</v>
      </c>
      <c r="R23" s="5" t="n">
        <f aca="false">SUM(R15:R22)</f>
        <v>274626.5625</v>
      </c>
      <c r="S23" s="5" t="n">
        <f aca="false">SUM(S15:S22)</f>
        <v>275376.5625</v>
      </c>
      <c r="T23" s="5" t="n">
        <f aca="false">SUM(T15:T22)</f>
        <v>275376.5625</v>
      </c>
      <c r="U23" s="5" t="n">
        <f aca="false">SUM(U15:U22)</f>
        <v>276126.5625</v>
      </c>
      <c r="V23" s="5" t="n">
        <f aca="false">SUM(V15:V22)</f>
        <v>276876.5625</v>
      </c>
      <c r="W23" s="5" t="n">
        <f aca="false">SUM(W15:W22)</f>
        <v>276126.5625</v>
      </c>
      <c r="X23" s="5" t="n">
        <f aca="false">SUM(X15:X22)</f>
        <v>275376.5625</v>
      </c>
      <c r="Y23" s="5" t="n">
        <f aca="false">SUM(Y15:Y22)</f>
        <v>276876.5625</v>
      </c>
      <c r="Z23" s="5" t="n">
        <f aca="false">SUM(Z15:Z22)</f>
        <v>277626.5625</v>
      </c>
      <c r="AA23" s="5" t="n">
        <f aca="false">SUM(AA15:AA22)</f>
        <v>281376.5625</v>
      </c>
      <c r="AB23" s="5" t="n">
        <f aca="false">SUM(AB15:AB22)</f>
        <v>282126.5625</v>
      </c>
    </row>
    <row r="25" customFormat="false" ht="15" hidden="false" customHeight="false" outlineLevel="0" collapsed="false">
      <c r="B25" s="3" t="s">
        <v>84</v>
      </c>
      <c r="C25" s="5" t="n">
        <f aca="false">SUM(D25:O25)</f>
        <v>519800</v>
      </c>
      <c r="D25" s="5" t="n">
        <f aca="false">D11-D23</f>
        <v>-1133.95833333337</v>
      </c>
      <c r="E25" s="5" t="n">
        <f aca="false">E11-E23</f>
        <v>-1133.95833333337</v>
      </c>
      <c r="F25" s="5" t="n">
        <f aca="false">F11-F23</f>
        <v>13682.9166666666</v>
      </c>
      <c r="G25" s="5" t="n">
        <f aca="false">G11-G23</f>
        <v>13682.9166666666</v>
      </c>
      <c r="H25" s="5" t="n">
        <f aca="false">H11-H23</f>
        <v>28499.7916666667</v>
      </c>
      <c r="I25" s="5" t="n">
        <f aca="false">I11-I23</f>
        <v>43316.6666666666</v>
      </c>
      <c r="J25" s="5" t="n">
        <f aca="false">J11-J23</f>
        <v>28499.7916666667</v>
      </c>
      <c r="K25" s="5" t="n">
        <f aca="false">K11-K23</f>
        <v>13682.9166666666</v>
      </c>
      <c r="L25" s="5" t="n">
        <f aca="false">L11-L23</f>
        <v>43316.6666666666</v>
      </c>
      <c r="M25" s="5" t="n">
        <f aca="false">M11-M23</f>
        <v>58133.5416666666</v>
      </c>
      <c r="N25" s="5" t="n">
        <f aca="false">N11-N23</f>
        <v>132217.916666667</v>
      </c>
      <c r="O25" s="5" t="n">
        <f aca="false">O11-O23</f>
        <v>147034.791666667</v>
      </c>
      <c r="P25" s="5" t="n">
        <f aca="false">SUM(Q25:AB25)</f>
        <v>934481.250000001</v>
      </c>
      <c r="Q25" s="5" t="n">
        <f aca="false">Q11-Q23</f>
        <v>26910.9375000001</v>
      </c>
      <c r="R25" s="5" t="n">
        <f aca="false">R11-R23</f>
        <v>26910.9375000001</v>
      </c>
      <c r="S25" s="5" t="n">
        <f aca="false">S11-S23</f>
        <v>43898.4375000001</v>
      </c>
      <c r="T25" s="5" t="n">
        <f aca="false">T11-T23</f>
        <v>43898.4375000001</v>
      </c>
      <c r="U25" s="5" t="n">
        <f aca="false">U11-U23</f>
        <v>60885.9375000001</v>
      </c>
      <c r="V25" s="5" t="n">
        <f aca="false">V11-V23</f>
        <v>77873.4375000001</v>
      </c>
      <c r="W25" s="5" t="n">
        <f aca="false">W11-W23</f>
        <v>60885.9375000001</v>
      </c>
      <c r="X25" s="5" t="n">
        <f aca="false">X11-X23</f>
        <v>43898.4375000001</v>
      </c>
      <c r="Y25" s="5" t="n">
        <f aca="false">Y11-Y23</f>
        <v>77873.4375000001</v>
      </c>
      <c r="Z25" s="5" t="n">
        <f aca="false">Z11-Z23</f>
        <v>94860.9375000001</v>
      </c>
      <c r="AA25" s="5" t="n">
        <f aca="false">AA11-AA23</f>
        <v>179798.4375</v>
      </c>
      <c r="AB25" s="5" t="n">
        <f aca="false">AB11-AB23</f>
        <v>196785.9375</v>
      </c>
    </row>
    <row r="26" customFormat="false" ht="15" hidden="false" customHeight="false" outlineLevel="0" collapsed="false">
      <c r="B26" s="12" t="s">
        <v>85</v>
      </c>
      <c r="C26" s="13" t="n">
        <f aca="false">IF(C6=0,0,C25/C6)</f>
        <v>0.0662165605095541</v>
      </c>
      <c r="D26" s="13" t="n">
        <f aca="false">IF(D6=0,0,D25/D6)</f>
        <v>-0.0020393405769952</v>
      </c>
      <c r="E26" s="13" t="n">
        <f aca="false">IF(E6=0,0,E25/E6)</f>
        <v>-0.0020393405769952</v>
      </c>
      <c r="F26" s="13" t="n">
        <f aca="false">IF(F6=0,0,F25/F6)</f>
        <v>0.0232406227883934</v>
      </c>
      <c r="G26" s="13" t="n">
        <f aca="false">IF(G6=0,0,G25/G6)</f>
        <v>0.0232406227883934</v>
      </c>
      <c r="H26" s="13" t="n">
        <f aca="false">IF(H6=0,0,H25/H6)</f>
        <v>0.0458595373784781</v>
      </c>
      <c r="I26" s="13" t="n">
        <f aca="false">IF(I6=0,0,I25/I6)</f>
        <v>0.0662165605095541</v>
      </c>
      <c r="J26" s="13" t="n">
        <f aca="false">IF(J6=0,0,J25/J6)</f>
        <v>0.0458595373784781</v>
      </c>
      <c r="K26" s="13" t="n">
        <f aca="false">IF(K6=0,0,K25/K6)</f>
        <v>0.0232406227883934</v>
      </c>
      <c r="L26" s="13" t="n">
        <f aca="false">IF(L6=0,0,L25/L6)</f>
        <v>0.0662165605095541</v>
      </c>
      <c r="M26" s="13" t="n">
        <f aca="false">IF(M6=0,0,M25/M6)</f>
        <v>0.0846348195329087</v>
      </c>
      <c r="N26" s="13" t="n">
        <f aca="false">IF(N6=0,0,N25/N6)</f>
        <v>0.155474277315042</v>
      </c>
      <c r="O26" s="13" t="n">
        <f aca="false">IF(O6=0,0,O25/O6)</f>
        <v>0.166493748525596</v>
      </c>
      <c r="P26" s="13" t="n">
        <f aca="false">IF(P6=0,0,P25/P6)</f>
        <v>0.10383125</v>
      </c>
      <c r="Q26" s="13" t="n">
        <f aca="false">IF(Q6=0,0,Q25/Q6)</f>
        <v>0.0422132352941177</v>
      </c>
      <c r="R26" s="13" t="n">
        <f aca="false">IF(R6=0,0,R25/R6)</f>
        <v>0.0422132352941177</v>
      </c>
      <c r="S26" s="13" t="n">
        <f aca="false">IF(S6=0,0,S25/S6)</f>
        <v>0.0650347222222223</v>
      </c>
      <c r="T26" s="13" t="n">
        <f aca="false">IF(T6=0,0,T25/T6)</f>
        <v>0.0650347222222223</v>
      </c>
      <c r="U26" s="13" t="n">
        <f aca="false">IF(U6=0,0,U25/U6)</f>
        <v>0.0854539473684211</v>
      </c>
      <c r="V26" s="13" t="n">
        <f aca="false">IF(V6=0,0,V25/V6)</f>
        <v>0.10383125</v>
      </c>
      <c r="W26" s="13" t="n">
        <f aca="false">IF(W6=0,0,W25/W6)</f>
        <v>0.0854539473684211</v>
      </c>
      <c r="X26" s="13" t="n">
        <f aca="false">IF(X6=0,0,X25/X6)</f>
        <v>0.0650347222222223</v>
      </c>
      <c r="Y26" s="13" t="n">
        <f aca="false">IF(Y6=0,0,Y25/Y6)</f>
        <v>0.10383125</v>
      </c>
      <c r="Z26" s="13" t="n">
        <f aca="false">IF(Z6=0,0,Z25/Z6)</f>
        <v>0.120458333333333</v>
      </c>
      <c r="AA26" s="13" t="n">
        <f aca="false">IF(AA6=0,0,AA25/AA6)</f>
        <v>0.184408653846154</v>
      </c>
      <c r="AB26" s="13" t="n">
        <f aca="false">IF(AB6=0,0,AB25/AB6)</f>
        <v>0.194356481481482</v>
      </c>
    </row>
    <row r="28" customFormat="false" ht="15" hidden="false" customHeight="false" outlineLevel="0" collapsed="false">
      <c r="B28" s="0" t="s">
        <v>86</v>
      </c>
      <c r="C28" s="7" t="n">
        <f aca="false">SUM(D28:O28)</f>
        <v>40000</v>
      </c>
      <c r="D28" s="11" t="n">
        <f aca="false">Assumptions!$C$18/12</f>
        <v>3333.33333333333</v>
      </c>
      <c r="E28" s="11" t="n">
        <f aca="false">Assumptions!$C$18/12</f>
        <v>3333.33333333333</v>
      </c>
      <c r="F28" s="11" t="n">
        <f aca="false">Assumptions!$C$18/12</f>
        <v>3333.33333333333</v>
      </c>
      <c r="G28" s="11" t="n">
        <f aca="false">Assumptions!$C$18/12</f>
        <v>3333.33333333333</v>
      </c>
      <c r="H28" s="11" t="n">
        <f aca="false">Assumptions!$C$18/12</f>
        <v>3333.33333333333</v>
      </c>
      <c r="I28" s="11" t="n">
        <f aca="false">Assumptions!$C$18/12</f>
        <v>3333.33333333333</v>
      </c>
      <c r="J28" s="11" t="n">
        <f aca="false">Assumptions!$C$18/12</f>
        <v>3333.33333333333</v>
      </c>
      <c r="K28" s="11" t="n">
        <f aca="false">Assumptions!$C$18/12</f>
        <v>3333.33333333333</v>
      </c>
      <c r="L28" s="11" t="n">
        <f aca="false">Assumptions!$C$18/12</f>
        <v>3333.33333333333</v>
      </c>
      <c r="M28" s="11" t="n">
        <f aca="false">Assumptions!$C$18/12</f>
        <v>3333.33333333333</v>
      </c>
      <c r="N28" s="11" t="n">
        <f aca="false">Assumptions!$C$18/12</f>
        <v>3333.33333333333</v>
      </c>
      <c r="O28" s="11" t="n">
        <f aca="false">Assumptions!$C$18/12</f>
        <v>3333.33333333333</v>
      </c>
      <c r="P28" s="7" t="n">
        <f aca="false">SUM(Q28:AB28)</f>
        <v>40000</v>
      </c>
      <c r="Q28" s="11" t="n">
        <f aca="false">Assumptions!$C$18/12</f>
        <v>3333.33333333333</v>
      </c>
      <c r="R28" s="11" t="n">
        <f aca="false">Assumptions!$C$18/12</f>
        <v>3333.33333333333</v>
      </c>
      <c r="S28" s="11" t="n">
        <f aca="false">Assumptions!$C$18/12</f>
        <v>3333.33333333333</v>
      </c>
      <c r="T28" s="11" t="n">
        <f aca="false">Assumptions!$C$18/12</f>
        <v>3333.33333333333</v>
      </c>
      <c r="U28" s="11" t="n">
        <f aca="false">Assumptions!$C$18/12</f>
        <v>3333.33333333333</v>
      </c>
      <c r="V28" s="11" t="n">
        <f aca="false">Assumptions!$C$18/12</f>
        <v>3333.33333333333</v>
      </c>
      <c r="W28" s="11" t="n">
        <f aca="false">Assumptions!$C$18/12</f>
        <v>3333.33333333333</v>
      </c>
      <c r="X28" s="11" t="n">
        <f aca="false">Assumptions!$C$18/12</f>
        <v>3333.33333333333</v>
      </c>
      <c r="Y28" s="11" t="n">
        <f aca="false">Assumptions!$C$18/12</f>
        <v>3333.33333333333</v>
      </c>
      <c r="Z28" s="11" t="n">
        <f aca="false">Assumptions!$C$18/12</f>
        <v>3333.33333333333</v>
      </c>
      <c r="AA28" s="11" t="n">
        <f aca="false">Assumptions!$C$18/12</f>
        <v>3333.33333333333</v>
      </c>
      <c r="AB28" s="11" t="n">
        <f aca="false">Assumptions!$C$18/12</f>
        <v>3333.33333333333</v>
      </c>
    </row>
    <row r="30" customFormat="false" ht="15" hidden="false" customHeight="false" outlineLevel="0" collapsed="false">
      <c r="B30" s="3" t="s">
        <v>87</v>
      </c>
      <c r="C30" s="5" t="n">
        <f aca="false">SUM(D30:O30)</f>
        <v>479800</v>
      </c>
      <c r="D30" s="5" t="n">
        <f aca="false">D25-D28</f>
        <v>-4467.29166666671</v>
      </c>
      <c r="E30" s="5" t="n">
        <f aca="false">E25-E28</f>
        <v>-4467.29166666671</v>
      </c>
      <c r="F30" s="5" t="n">
        <f aca="false">F25-F28</f>
        <v>10349.5833333333</v>
      </c>
      <c r="G30" s="5" t="n">
        <f aca="false">G25-G28</f>
        <v>10349.5833333333</v>
      </c>
      <c r="H30" s="5" t="n">
        <f aca="false">H25-H28</f>
        <v>25166.4583333334</v>
      </c>
      <c r="I30" s="5" t="n">
        <f aca="false">I25-I28</f>
        <v>39983.3333333333</v>
      </c>
      <c r="J30" s="5" t="n">
        <f aca="false">J25-J28</f>
        <v>25166.4583333334</v>
      </c>
      <c r="K30" s="5" t="n">
        <f aca="false">K25-K28</f>
        <v>10349.5833333333</v>
      </c>
      <c r="L30" s="5" t="n">
        <f aca="false">L25-L28</f>
        <v>39983.3333333333</v>
      </c>
      <c r="M30" s="5" t="n">
        <f aca="false">M25-M28</f>
        <v>54800.2083333333</v>
      </c>
      <c r="N30" s="5" t="n">
        <f aca="false">N25-N28</f>
        <v>128884.583333333</v>
      </c>
      <c r="O30" s="5" t="n">
        <f aca="false">O25-O28</f>
        <v>143701.458333333</v>
      </c>
      <c r="P30" s="5" t="n">
        <f aca="false">SUM(Q30:AB30)</f>
        <v>894481.250000001</v>
      </c>
      <c r="Q30" s="5" t="n">
        <f aca="false">Q25-Q28</f>
        <v>23577.6041666667</v>
      </c>
      <c r="R30" s="5" t="n">
        <f aca="false">R25-R28</f>
        <v>23577.6041666667</v>
      </c>
      <c r="S30" s="5" t="n">
        <f aca="false">S25-S28</f>
        <v>40565.1041666667</v>
      </c>
      <c r="T30" s="5" t="n">
        <f aca="false">T25-T28</f>
        <v>40565.1041666667</v>
      </c>
      <c r="U30" s="5" t="n">
        <f aca="false">U25-U28</f>
        <v>57552.6041666667</v>
      </c>
      <c r="V30" s="5" t="n">
        <f aca="false">V25-V28</f>
        <v>74540.1041666667</v>
      </c>
      <c r="W30" s="5" t="n">
        <f aca="false">W25-W28</f>
        <v>57552.6041666667</v>
      </c>
      <c r="X30" s="5" t="n">
        <f aca="false">X25-X28</f>
        <v>40565.1041666667</v>
      </c>
      <c r="Y30" s="5" t="n">
        <f aca="false">Y25-Y28</f>
        <v>74540.1041666667</v>
      </c>
      <c r="Z30" s="5" t="n">
        <f aca="false">Z25-Z28</f>
        <v>91527.6041666667</v>
      </c>
      <c r="AA30" s="5" t="n">
        <f aca="false">AA25-AA28</f>
        <v>176465.104166667</v>
      </c>
      <c r="AB30" s="5" t="n">
        <f aca="false">AB25-AB28</f>
        <v>193452.604166667</v>
      </c>
    </row>
    <row r="31" customFormat="false" ht="15" hidden="false" customHeight="false" outlineLevel="0" collapsed="false">
      <c r="B31" s="12" t="s">
        <v>88</v>
      </c>
      <c r="C31" s="13" t="n">
        <f aca="false">IF(C6=0,0,C30/C6)</f>
        <v>0.0611210191082802</v>
      </c>
      <c r="D31" s="13" t="n">
        <f aca="false">IF(D6=0,0,D30/D6)</f>
        <v>-0.00803409516672918</v>
      </c>
      <c r="E31" s="13" t="n">
        <f aca="false">IF(E6=0,0,E30/E6)</f>
        <v>-0.00803409516672918</v>
      </c>
      <c r="F31" s="13" t="n">
        <f aca="false">IF(F6=0,0,F30/F6)</f>
        <v>0.0175789101203113</v>
      </c>
      <c r="G31" s="13" t="n">
        <f aca="false">IF(G6=0,0,G30/G6)</f>
        <v>0.0175789101203113</v>
      </c>
      <c r="H31" s="13" t="n">
        <f aca="false">IF(H6=0,0,H30/H6)</f>
        <v>0.0404958095876635</v>
      </c>
      <c r="I31" s="13" t="n">
        <f aca="false">IF(I6=0,0,I30/I6)</f>
        <v>0.0611210191082802</v>
      </c>
      <c r="J31" s="13" t="n">
        <f aca="false">IF(J6=0,0,J30/J6)</f>
        <v>0.0404958095876635</v>
      </c>
      <c r="K31" s="13" t="n">
        <f aca="false">IF(K6=0,0,K30/K6)</f>
        <v>0.0175789101203113</v>
      </c>
      <c r="L31" s="13" t="n">
        <f aca="false">IF(L6=0,0,L30/L6)</f>
        <v>0.0611210191082802</v>
      </c>
      <c r="M31" s="13" t="n">
        <f aca="false">IF(M6=0,0,M30/M6)</f>
        <v>0.0797819229602668</v>
      </c>
      <c r="N31" s="13" t="n">
        <f aca="false">IF(N6=0,0,N30/N6)</f>
        <v>0.151554630083292</v>
      </c>
      <c r="O31" s="13" t="n">
        <f aca="false">IF(O6=0,0,O30/O6)</f>
        <v>0.162719273413541</v>
      </c>
      <c r="P31" s="13" t="n">
        <f aca="false">IF(P6=0,0,P30/P6)</f>
        <v>0.0993868055555556</v>
      </c>
      <c r="Q31" s="13" t="n">
        <f aca="false">IF(Q6=0,0,Q30/Q6)</f>
        <v>0.0369844771241831</v>
      </c>
      <c r="R31" s="13" t="n">
        <f aca="false">IF(R6=0,0,R30/R6)</f>
        <v>0.0369844771241831</v>
      </c>
      <c r="S31" s="13" t="n">
        <f aca="false">IF(S6=0,0,S30/S6)</f>
        <v>0.060096450617284</v>
      </c>
      <c r="T31" s="13" t="n">
        <f aca="false">IF(T6=0,0,T30/T6)</f>
        <v>0.060096450617284</v>
      </c>
      <c r="U31" s="13" t="n">
        <f aca="false">IF(U6=0,0,U30/U6)</f>
        <v>0.0807755847953217</v>
      </c>
      <c r="V31" s="13" t="n">
        <f aca="false">IF(V6=0,0,V30/V6)</f>
        <v>0.0993868055555556</v>
      </c>
      <c r="W31" s="13" t="n">
        <f aca="false">IF(W6=0,0,W30/W6)</f>
        <v>0.0807755847953217</v>
      </c>
      <c r="X31" s="13" t="n">
        <f aca="false">IF(X6=0,0,X30/X6)</f>
        <v>0.060096450617284</v>
      </c>
      <c r="Y31" s="13" t="n">
        <f aca="false">IF(Y6=0,0,Y30/Y6)</f>
        <v>0.0993868055555556</v>
      </c>
      <c r="Z31" s="13" t="n">
        <f aca="false">IF(Z6=0,0,Z30/Z6)</f>
        <v>0.116225529100529</v>
      </c>
      <c r="AA31" s="13" t="n">
        <f aca="false">IF(AA6=0,0,AA30/AA6)</f>
        <v>0.18098985042735</v>
      </c>
      <c r="AB31" s="13" t="n">
        <f aca="false">IF(AB6=0,0,AB30/AB6)</f>
        <v>0.191064300411523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28" min="3" style="0" width="11"/>
  </cols>
  <sheetData>
    <row r="1" customFormat="false" ht="17.35" hidden="false" customHeight="false" outlineLevel="0" collapsed="false">
      <c r="B1" s="1" t="s">
        <v>89</v>
      </c>
    </row>
    <row r="2" customFormat="false" ht="15" hidden="false" customHeight="false" outlineLevel="0" collapsed="false">
      <c r="C2" s="3" t="s">
        <v>73</v>
      </c>
      <c r="P2" s="3" t="s">
        <v>74</v>
      </c>
    </row>
    <row r="3" customFormat="false" ht="15" hidden="false" customHeight="false" outlineLevel="0" collapsed="false">
      <c r="C3" s="3" t="s">
        <v>75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75</v>
      </c>
      <c r="Q3" s="3" t="s">
        <v>29</v>
      </c>
      <c r="R3" s="3" t="s">
        <v>30</v>
      </c>
      <c r="S3" s="3" t="s">
        <v>31</v>
      </c>
      <c r="T3" s="3" t="s">
        <v>32</v>
      </c>
      <c r="U3" s="3" t="s">
        <v>33</v>
      </c>
      <c r="V3" s="3" t="s">
        <v>34</v>
      </c>
      <c r="W3" s="3" t="s">
        <v>35</v>
      </c>
      <c r="X3" s="3" t="s">
        <v>36</v>
      </c>
      <c r="Y3" s="3" t="s">
        <v>37</v>
      </c>
      <c r="Z3" s="3" t="s">
        <v>38</v>
      </c>
      <c r="AA3" s="3" t="s">
        <v>39</v>
      </c>
      <c r="AB3" s="3" t="s">
        <v>40</v>
      </c>
    </row>
    <row r="6" customFormat="false" ht="15" hidden="false" customHeight="false" outlineLevel="0" collapsed="false">
      <c r="B6" s="3" t="s">
        <v>76</v>
      </c>
      <c r="C6" s="5" t="n">
        <f aca="false">SUM(D6:O6)</f>
        <v>5100000</v>
      </c>
      <c r="D6" s="11" t="n">
        <f aca="false">Assumptions!$C$7*Assumptions!$C$32/SUM(Assumptions!$C$32:$N$32)</f>
        <v>361250</v>
      </c>
      <c r="E6" s="11" t="n">
        <f aca="false">Assumptions!$C$7*Assumptions!$D$32/SUM(Assumptions!$C$32:$N$32)</f>
        <v>361250</v>
      </c>
      <c r="F6" s="11" t="n">
        <f aca="false">Assumptions!$C$7*Assumptions!$E$32/SUM(Assumptions!$C$32:$N$32)</f>
        <v>382500</v>
      </c>
      <c r="G6" s="11" t="n">
        <f aca="false">Assumptions!$C$7*Assumptions!$F$32/SUM(Assumptions!$C$32:$N$32)</f>
        <v>382500</v>
      </c>
      <c r="H6" s="11" t="n">
        <f aca="false">Assumptions!$C$7*Assumptions!$G$32/SUM(Assumptions!$C$32:$N$32)</f>
        <v>403750</v>
      </c>
      <c r="I6" s="11" t="n">
        <f aca="false">Assumptions!$C$7*Assumptions!$H$32/SUM(Assumptions!$C$32:$N$32)</f>
        <v>425000</v>
      </c>
      <c r="J6" s="11" t="n">
        <f aca="false">Assumptions!$C$7*Assumptions!$I$32/SUM(Assumptions!$C$32:$N$32)</f>
        <v>403750</v>
      </c>
      <c r="K6" s="11" t="n">
        <f aca="false">Assumptions!$C$7*Assumptions!$J$32/SUM(Assumptions!$C$32:$N$32)</f>
        <v>382500</v>
      </c>
      <c r="L6" s="11" t="n">
        <f aca="false">Assumptions!$C$7*Assumptions!$K$32/SUM(Assumptions!$C$32:$N$32)</f>
        <v>425000</v>
      </c>
      <c r="M6" s="11" t="n">
        <f aca="false">Assumptions!$C$7*Assumptions!$L$32/SUM(Assumptions!$C$32:$N$32)</f>
        <v>446250</v>
      </c>
      <c r="N6" s="11" t="n">
        <f aca="false">Assumptions!$C$7*Assumptions!$M$32/SUM(Assumptions!$C$32:$N$32)</f>
        <v>552500</v>
      </c>
      <c r="O6" s="11" t="n">
        <f aca="false">Assumptions!$C$7*Assumptions!$N$32/SUM(Assumptions!$C$32:$N$32)</f>
        <v>573750</v>
      </c>
      <c r="P6" s="5" t="n">
        <f aca="false">SUM(Q6:AB6)</f>
        <v>6000000</v>
      </c>
      <c r="Q6" s="11" t="n">
        <f aca="false">Assumptions!$D$7*Assumptions!$C$32/SUM(Assumptions!$C$32:$N$32)</f>
        <v>425000</v>
      </c>
      <c r="R6" s="11" t="n">
        <f aca="false">Assumptions!$D$7*Assumptions!$D$32/SUM(Assumptions!$C$32:$N$32)</f>
        <v>425000</v>
      </c>
      <c r="S6" s="11" t="n">
        <f aca="false">Assumptions!$D$7*Assumptions!$E$32/SUM(Assumptions!$C$32:$N$32)</f>
        <v>450000</v>
      </c>
      <c r="T6" s="11" t="n">
        <f aca="false">Assumptions!$D$7*Assumptions!$F$32/SUM(Assumptions!$C$32:$N$32)</f>
        <v>450000</v>
      </c>
      <c r="U6" s="11" t="n">
        <f aca="false">Assumptions!$D$7*Assumptions!$G$32/SUM(Assumptions!$C$32:$N$32)</f>
        <v>475000</v>
      </c>
      <c r="V6" s="11" t="n">
        <f aca="false">Assumptions!$D$7*Assumptions!$H$32/SUM(Assumptions!$C$32:$N$32)</f>
        <v>500000</v>
      </c>
      <c r="W6" s="11" t="n">
        <f aca="false">Assumptions!$D$7*Assumptions!$I$32/SUM(Assumptions!$C$32:$N$32)</f>
        <v>475000</v>
      </c>
      <c r="X6" s="11" t="n">
        <f aca="false">Assumptions!$D$7*Assumptions!$J$32/SUM(Assumptions!$C$32:$N$32)</f>
        <v>450000</v>
      </c>
      <c r="Y6" s="11" t="n">
        <f aca="false">Assumptions!$D$7*Assumptions!$K$32/SUM(Assumptions!$C$32:$N$32)</f>
        <v>500000</v>
      </c>
      <c r="Z6" s="11" t="n">
        <f aca="false">Assumptions!$D$7*Assumptions!$L$32/SUM(Assumptions!$C$32:$N$32)</f>
        <v>525000</v>
      </c>
      <c r="AA6" s="11" t="n">
        <f aca="false">Assumptions!$D$7*Assumptions!$M$32/SUM(Assumptions!$C$32:$N$32)</f>
        <v>650000</v>
      </c>
      <c r="AB6" s="11" t="n">
        <f aca="false">Assumptions!$D$7*Assumptions!$N$32/SUM(Assumptions!$C$32:$N$32)</f>
        <v>675000</v>
      </c>
    </row>
    <row r="9" customFormat="false" ht="15" hidden="false" customHeight="false" outlineLevel="0" collapsed="false">
      <c r="B9" s="0" t="s">
        <v>77</v>
      </c>
      <c r="C9" s="7" t="n">
        <f aca="false">SUM(D9:O9)</f>
        <v>2687700</v>
      </c>
      <c r="D9" s="11" t="n">
        <f aca="false">D6*(1-Assumptions!$C$11)</f>
        <v>190378.75</v>
      </c>
      <c r="E9" s="11" t="n">
        <f aca="false">E6*(1-Assumptions!$C$11)</f>
        <v>190378.75</v>
      </c>
      <c r="F9" s="11" t="n">
        <f aca="false">F6*(1-Assumptions!$C$11)</f>
        <v>201577.5</v>
      </c>
      <c r="G9" s="11" t="n">
        <f aca="false">G6*(1-Assumptions!$C$11)</f>
        <v>201577.5</v>
      </c>
      <c r="H9" s="11" t="n">
        <f aca="false">H6*(1-Assumptions!$C$11)</f>
        <v>212776.25</v>
      </c>
      <c r="I9" s="11" t="n">
        <f aca="false">I6*(1-Assumptions!$C$11)</f>
        <v>223975</v>
      </c>
      <c r="J9" s="11" t="n">
        <f aca="false">J6*(1-Assumptions!$C$11)</f>
        <v>212776.25</v>
      </c>
      <c r="K9" s="11" t="n">
        <f aca="false">K6*(1-Assumptions!$C$11)</f>
        <v>201577.5</v>
      </c>
      <c r="L9" s="11" t="n">
        <f aca="false">L6*(1-Assumptions!$C$11)</f>
        <v>223975</v>
      </c>
      <c r="M9" s="11" t="n">
        <f aca="false">M6*(1-Assumptions!$C$11)</f>
        <v>235173.75</v>
      </c>
      <c r="N9" s="11" t="n">
        <f aca="false">N6*(1-Assumptions!$C$11)</f>
        <v>291167.5</v>
      </c>
      <c r="O9" s="11" t="n">
        <f aca="false">O6*(1-Assumptions!$C$11)</f>
        <v>302366.25</v>
      </c>
      <c r="P9" s="7" t="n">
        <f aca="false">SUM(Q9:AB9)</f>
        <v>3162000</v>
      </c>
      <c r="Q9" s="11" t="n">
        <f aca="false">Q6*(1-Assumptions!$C$11)</f>
        <v>223975</v>
      </c>
      <c r="R9" s="11" t="n">
        <f aca="false">R6*(1-Assumptions!$C$11)</f>
        <v>223975</v>
      </c>
      <c r="S9" s="11" t="n">
        <f aca="false">S6*(1-Assumptions!$C$11)</f>
        <v>237150</v>
      </c>
      <c r="T9" s="11" t="n">
        <f aca="false">T6*(1-Assumptions!$C$11)</f>
        <v>237150</v>
      </c>
      <c r="U9" s="11" t="n">
        <f aca="false">U6*(1-Assumptions!$C$11)</f>
        <v>250325</v>
      </c>
      <c r="V9" s="11" t="n">
        <f aca="false">V6*(1-Assumptions!$C$11)</f>
        <v>263500</v>
      </c>
      <c r="W9" s="11" t="n">
        <f aca="false">W6*(1-Assumptions!$C$11)</f>
        <v>250325</v>
      </c>
      <c r="X9" s="11" t="n">
        <f aca="false">X6*(1-Assumptions!$C$11)</f>
        <v>237150</v>
      </c>
      <c r="Y9" s="11" t="n">
        <f aca="false">Y6*(1-Assumptions!$C$11)</f>
        <v>263500</v>
      </c>
      <c r="Z9" s="11" t="n">
        <f aca="false">Z6*(1-Assumptions!$C$11)</f>
        <v>276675</v>
      </c>
      <c r="AA9" s="11" t="n">
        <f aca="false">AA6*(1-Assumptions!$C$11)</f>
        <v>342550</v>
      </c>
      <c r="AB9" s="11" t="n">
        <f aca="false">AB6*(1-Assumptions!$C$11)</f>
        <v>355725</v>
      </c>
    </row>
    <row r="11" customFormat="false" ht="15" hidden="false" customHeight="false" outlineLevel="0" collapsed="false">
      <c r="B11" s="3" t="s">
        <v>78</v>
      </c>
      <c r="C11" s="5" t="n">
        <f aca="false">SUM(D11:O11)</f>
        <v>2412300</v>
      </c>
      <c r="D11" s="7" t="n">
        <f aca="false">D6-D9</f>
        <v>170871.25</v>
      </c>
      <c r="E11" s="7" t="n">
        <f aca="false">E6-E9</f>
        <v>170871.25</v>
      </c>
      <c r="F11" s="7" t="n">
        <f aca="false">F6-F9</f>
        <v>180922.5</v>
      </c>
      <c r="G11" s="7" t="n">
        <f aca="false">G6-G9</f>
        <v>180922.5</v>
      </c>
      <c r="H11" s="7" t="n">
        <f aca="false">H6-H9</f>
        <v>190973.75</v>
      </c>
      <c r="I11" s="7" t="n">
        <f aca="false">I6-I9</f>
        <v>201025</v>
      </c>
      <c r="J11" s="7" t="n">
        <f aca="false">J6-J9</f>
        <v>190973.75</v>
      </c>
      <c r="K11" s="7" t="n">
        <f aca="false">K6-K9</f>
        <v>180922.5</v>
      </c>
      <c r="L11" s="7" t="n">
        <f aca="false">L6-L9</f>
        <v>201025</v>
      </c>
      <c r="M11" s="7" t="n">
        <f aca="false">M6-M9</f>
        <v>211076.25</v>
      </c>
      <c r="N11" s="7" t="n">
        <f aca="false">N6-N9</f>
        <v>261332.5</v>
      </c>
      <c r="O11" s="7" t="n">
        <f aca="false">O6-O9</f>
        <v>271383.75</v>
      </c>
      <c r="P11" s="5" t="n">
        <f aca="false">SUM(Q11:AB11)</f>
        <v>2838000</v>
      </c>
      <c r="Q11" s="7" t="n">
        <f aca="false">Q6-Q9</f>
        <v>201025</v>
      </c>
      <c r="R11" s="7" t="n">
        <f aca="false">R6-R9</f>
        <v>201025</v>
      </c>
      <c r="S11" s="7" t="n">
        <f aca="false">S6-S9</f>
        <v>212850</v>
      </c>
      <c r="T11" s="7" t="n">
        <f aca="false">T6-T9</f>
        <v>212850</v>
      </c>
      <c r="U11" s="7" t="n">
        <f aca="false">U6-U9</f>
        <v>224675</v>
      </c>
      <c r="V11" s="7" t="n">
        <f aca="false">V6-V9</f>
        <v>236500</v>
      </c>
      <c r="W11" s="7" t="n">
        <f aca="false">W6-W9</f>
        <v>224675</v>
      </c>
      <c r="X11" s="7" t="n">
        <f aca="false">X6-X9</f>
        <v>212850</v>
      </c>
      <c r="Y11" s="7" t="n">
        <f aca="false">Y6-Y9</f>
        <v>236500</v>
      </c>
      <c r="Z11" s="7" t="n">
        <f aca="false">Z6-Z9</f>
        <v>248325</v>
      </c>
      <c r="AA11" s="7" t="n">
        <f aca="false">AA6-AA9</f>
        <v>307450</v>
      </c>
      <c r="AB11" s="7" t="n">
        <f aca="false">AB6-AB9</f>
        <v>319275</v>
      </c>
    </row>
    <row r="12" customFormat="false" ht="15" hidden="false" customHeight="false" outlineLevel="0" collapsed="false">
      <c r="B12" s="12" t="s">
        <v>79</v>
      </c>
      <c r="C12" s="13" t="n">
        <f aca="false">IF(C6=0,0,C11/C6)</f>
        <v>0.473</v>
      </c>
      <c r="D12" s="13" t="n">
        <f aca="false">IF(D6=0,0,D11/D6)</f>
        <v>0.473</v>
      </c>
      <c r="E12" s="13" t="n">
        <f aca="false">IF(E6=0,0,E11/E6)</f>
        <v>0.473</v>
      </c>
      <c r="F12" s="13" t="n">
        <f aca="false">IF(F6=0,0,F11/F6)</f>
        <v>0.473</v>
      </c>
      <c r="G12" s="13" t="n">
        <f aca="false">IF(G6=0,0,G11/G6)</f>
        <v>0.473</v>
      </c>
      <c r="H12" s="13" t="n">
        <f aca="false">IF(H6=0,0,H11/H6)</f>
        <v>0.473</v>
      </c>
      <c r="I12" s="13" t="n">
        <f aca="false">IF(I6=0,0,I11/I6)</f>
        <v>0.473</v>
      </c>
      <c r="J12" s="13" t="n">
        <f aca="false">IF(J6=0,0,J11/J6)</f>
        <v>0.473</v>
      </c>
      <c r="K12" s="13" t="n">
        <f aca="false">IF(K6=0,0,K11/K6)</f>
        <v>0.473</v>
      </c>
      <c r="L12" s="13" t="n">
        <f aca="false">IF(L6=0,0,L11/L6)</f>
        <v>0.473</v>
      </c>
      <c r="M12" s="13" t="n">
        <f aca="false">IF(M6=0,0,M11/M6)</f>
        <v>0.473</v>
      </c>
      <c r="N12" s="13" t="n">
        <f aca="false">IF(N6=0,0,N11/N6)</f>
        <v>0.473</v>
      </c>
      <c r="O12" s="13" t="n">
        <f aca="false">IF(O6=0,0,O11/O6)</f>
        <v>0.473</v>
      </c>
      <c r="P12" s="13" t="n">
        <f aca="false">IF(P6=0,0,P11/P6)</f>
        <v>0.473</v>
      </c>
      <c r="Q12" s="13" t="n">
        <f aca="false">IF(Q6=0,0,Q11/Q6)</f>
        <v>0.473</v>
      </c>
      <c r="R12" s="13" t="n">
        <f aca="false">IF(R6=0,0,R11/R6)</f>
        <v>0.473</v>
      </c>
      <c r="S12" s="13" t="n">
        <f aca="false">IF(S6=0,0,S11/S6)</f>
        <v>0.473</v>
      </c>
      <c r="T12" s="13" t="n">
        <f aca="false">IF(T6=0,0,T11/T6)</f>
        <v>0.473</v>
      </c>
      <c r="U12" s="13" t="n">
        <f aca="false">IF(U6=0,0,U11/U6)</f>
        <v>0.473</v>
      </c>
      <c r="V12" s="13" t="n">
        <f aca="false">IF(V6=0,0,V11/V6)</f>
        <v>0.473</v>
      </c>
      <c r="W12" s="13" t="n">
        <f aca="false">IF(W6=0,0,W11/W6)</f>
        <v>0.473</v>
      </c>
      <c r="X12" s="13" t="n">
        <f aca="false">IF(X6=0,0,X11/X6)</f>
        <v>0.473</v>
      </c>
      <c r="Y12" s="13" t="n">
        <f aca="false">IF(Y6=0,0,Y11/Y6)</f>
        <v>0.473</v>
      </c>
      <c r="Z12" s="13" t="n">
        <f aca="false">IF(Z6=0,0,Z11/Z6)</f>
        <v>0.473</v>
      </c>
      <c r="AA12" s="13" t="n">
        <f aca="false">IF(AA6=0,0,AA11/AA6)</f>
        <v>0.473</v>
      </c>
      <c r="AB12" s="13" t="n">
        <f aca="false">IF(AB6=0,0,AB11/AB6)</f>
        <v>0.473</v>
      </c>
    </row>
    <row r="14" customFormat="false" ht="15" hidden="false" customHeight="false" outlineLevel="0" collapsed="false">
      <c r="B14" s="3" t="s">
        <v>80</v>
      </c>
    </row>
    <row r="15" customFormat="false" ht="15" hidden="false" customHeight="false" outlineLevel="0" collapsed="false">
      <c r="B15" s="0" t="s">
        <v>81</v>
      </c>
      <c r="C15" s="7" t="n">
        <f aca="false">SUM(D15:O15)</f>
        <v>546250</v>
      </c>
      <c r="D15" s="11" t="n">
        <f aca="false">Headcount!$D$28*(1+Assumptions!$C$15)/12</f>
        <v>45520.8333333333</v>
      </c>
      <c r="E15" s="11" t="n">
        <f aca="false">Headcount!$D$28*(1+Assumptions!$C$15)/12</f>
        <v>45520.8333333333</v>
      </c>
      <c r="F15" s="11" t="n">
        <f aca="false">Headcount!$D$28*(1+Assumptions!$C$15)/12</f>
        <v>45520.8333333333</v>
      </c>
      <c r="G15" s="11" t="n">
        <f aca="false">Headcount!$D$28*(1+Assumptions!$C$15)/12</f>
        <v>45520.8333333333</v>
      </c>
      <c r="H15" s="11" t="n">
        <f aca="false">Headcount!$D$28*(1+Assumptions!$C$15)/12</f>
        <v>45520.8333333333</v>
      </c>
      <c r="I15" s="11" t="n">
        <f aca="false">Headcount!$D$28*(1+Assumptions!$C$15)/12</f>
        <v>45520.8333333333</v>
      </c>
      <c r="J15" s="11" t="n">
        <f aca="false">Headcount!$D$28*(1+Assumptions!$C$15)/12</f>
        <v>45520.8333333333</v>
      </c>
      <c r="K15" s="11" t="n">
        <f aca="false">Headcount!$D$28*(1+Assumptions!$C$15)/12</f>
        <v>45520.8333333333</v>
      </c>
      <c r="L15" s="11" t="n">
        <f aca="false">Headcount!$D$28*(1+Assumptions!$C$15)/12</f>
        <v>45520.8333333333</v>
      </c>
      <c r="M15" s="11" t="n">
        <f aca="false">Headcount!$D$28*(1+Assumptions!$C$15)/12</f>
        <v>45520.8333333333</v>
      </c>
      <c r="N15" s="11" t="n">
        <f aca="false">Headcount!$D$28*(1+Assumptions!$C$15)/12</f>
        <v>45520.8333333333</v>
      </c>
      <c r="O15" s="11" t="n">
        <f aca="false">Headcount!$D$28*(1+Assumptions!$C$15)/12</f>
        <v>45520.8333333333</v>
      </c>
      <c r="P15" s="7" t="n">
        <f aca="false">SUM(Q15:AB15)</f>
        <v>565368.75</v>
      </c>
      <c r="Q15" s="11" t="n">
        <f aca="false">Headcount!$E$28*(1+Assumptions!$C$15)/12</f>
        <v>47114.0625</v>
      </c>
      <c r="R15" s="11" t="n">
        <f aca="false">Headcount!$E$28*(1+Assumptions!$C$15)/12</f>
        <v>47114.0625</v>
      </c>
      <c r="S15" s="11" t="n">
        <f aca="false">Headcount!$E$28*(1+Assumptions!$C$15)/12</f>
        <v>47114.0625</v>
      </c>
      <c r="T15" s="11" t="n">
        <f aca="false">Headcount!$E$28*(1+Assumptions!$C$15)/12</f>
        <v>47114.0625</v>
      </c>
      <c r="U15" s="11" t="n">
        <f aca="false">Headcount!$E$28*(1+Assumptions!$C$15)/12</f>
        <v>47114.0625</v>
      </c>
      <c r="V15" s="11" t="n">
        <f aca="false">Headcount!$E$28*(1+Assumptions!$C$15)/12</f>
        <v>47114.0625</v>
      </c>
      <c r="W15" s="11" t="n">
        <f aca="false">Headcount!$E$28*(1+Assumptions!$C$15)/12</f>
        <v>47114.0625</v>
      </c>
      <c r="X15" s="11" t="n">
        <f aca="false">Headcount!$E$28*(1+Assumptions!$C$15)/12</f>
        <v>47114.0625</v>
      </c>
      <c r="Y15" s="11" t="n">
        <f aca="false">Headcount!$E$28*(1+Assumptions!$C$15)/12</f>
        <v>47114.0625</v>
      </c>
      <c r="Z15" s="11" t="n">
        <f aca="false">Headcount!$E$28*(1+Assumptions!$C$15)/12</f>
        <v>47114.0625</v>
      </c>
      <c r="AA15" s="11" t="n">
        <f aca="false">Headcount!$E$28*(1+Assumptions!$C$15)/12</f>
        <v>47114.0625</v>
      </c>
      <c r="AB15" s="11" t="n">
        <f aca="false">Headcount!$E$28*(1+Assumptions!$C$15)/12</f>
        <v>47114.0625</v>
      </c>
    </row>
    <row r="16" customFormat="false" ht="15" hidden="false" customHeight="false" outlineLevel="0" collapsed="false">
      <c r="B16" s="0" t="s">
        <v>82</v>
      </c>
      <c r="C16" s="7" t="n">
        <f aca="false">SUM(D16:O16)</f>
        <v>102000</v>
      </c>
      <c r="D16" s="11" t="n">
        <f aca="false">D6*Assumptions!$C$16</f>
        <v>7225</v>
      </c>
      <c r="E16" s="11" t="n">
        <f aca="false">E6*Assumptions!$C$16</f>
        <v>7225</v>
      </c>
      <c r="F16" s="11" t="n">
        <f aca="false">F6*Assumptions!$C$16</f>
        <v>7650</v>
      </c>
      <c r="G16" s="11" t="n">
        <f aca="false">G6*Assumptions!$C$16</f>
        <v>7650</v>
      </c>
      <c r="H16" s="11" t="n">
        <f aca="false">H6*Assumptions!$C$16</f>
        <v>8075</v>
      </c>
      <c r="I16" s="11" t="n">
        <f aca="false">I6*Assumptions!$C$16</f>
        <v>8500</v>
      </c>
      <c r="J16" s="11" t="n">
        <f aca="false">J6*Assumptions!$C$16</f>
        <v>8075</v>
      </c>
      <c r="K16" s="11" t="n">
        <f aca="false">K6*Assumptions!$C$16</f>
        <v>7650</v>
      </c>
      <c r="L16" s="11" t="n">
        <f aca="false">L6*Assumptions!$C$16</f>
        <v>8500</v>
      </c>
      <c r="M16" s="11" t="n">
        <f aca="false">M6*Assumptions!$C$16</f>
        <v>8925</v>
      </c>
      <c r="N16" s="11" t="n">
        <f aca="false">N6*Assumptions!$C$16</f>
        <v>11050</v>
      </c>
      <c r="O16" s="11" t="n">
        <f aca="false">O6*Assumptions!$C$16</f>
        <v>11475</v>
      </c>
      <c r="P16" s="7" t="n">
        <f aca="false">SUM(Q16:AB16)</f>
        <v>120000</v>
      </c>
      <c r="Q16" s="11" t="n">
        <f aca="false">Q6*Assumptions!$C$16</f>
        <v>8500</v>
      </c>
      <c r="R16" s="11" t="n">
        <f aca="false">R6*Assumptions!$C$16</f>
        <v>8500</v>
      </c>
      <c r="S16" s="11" t="n">
        <f aca="false">S6*Assumptions!$C$16</f>
        <v>9000</v>
      </c>
      <c r="T16" s="11" t="n">
        <f aca="false">T6*Assumptions!$C$16</f>
        <v>9000</v>
      </c>
      <c r="U16" s="11" t="n">
        <f aca="false">U6*Assumptions!$C$16</f>
        <v>9500</v>
      </c>
      <c r="V16" s="11" t="n">
        <f aca="false">V6*Assumptions!$C$16</f>
        <v>10000</v>
      </c>
      <c r="W16" s="11" t="n">
        <f aca="false">W6*Assumptions!$C$16</f>
        <v>9500</v>
      </c>
      <c r="X16" s="11" t="n">
        <f aca="false">X6*Assumptions!$C$16</f>
        <v>9000</v>
      </c>
      <c r="Y16" s="11" t="n">
        <f aca="false">Y6*Assumptions!$C$16</f>
        <v>10000</v>
      </c>
      <c r="Z16" s="11" t="n">
        <f aca="false">Z6*Assumptions!$C$16</f>
        <v>10500</v>
      </c>
      <c r="AA16" s="11" t="n">
        <f aca="false">AA6*Assumptions!$C$16</f>
        <v>13000</v>
      </c>
      <c r="AB16" s="11" t="n">
        <f aca="false">AB6*Assumptions!$C$16</f>
        <v>13500</v>
      </c>
    </row>
    <row r="17" customFormat="false" ht="15" hidden="false" customHeight="false" outlineLevel="0" collapsed="false">
      <c r="B17" s="0" t="s">
        <v>22</v>
      </c>
      <c r="C17" s="7" t="n">
        <f aca="false">SUM(D17:O17)</f>
        <v>90000</v>
      </c>
      <c r="D17" s="11" t="n">
        <f aca="false">Assumptions!$D$23/12</f>
        <v>7500</v>
      </c>
      <c r="E17" s="11" t="n">
        <f aca="false">Assumptions!$D$23/12</f>
        <v>7500</v>
      </c>
      <c r="F17" s="11" t="n">
        <f aca="false">Assumptions!$D$23/12</f>
        <v>7500</v>
      </c>
      <c r="G17" s="11" t="n">
        <f aca="false">Assumptions!$D$23/12</f>
        <v>7500</v>
      </c>
      <c r="H17" s="11" t="n">
        <f aca="false">Assumptions!$D$23/12</f>
        <v>7500</v>
      </c>
      <c r="I17" s="11" t="n">
        <f aca="false">Assumptions!$D$23/12</f>
        <v>7500</v>
      </c>
      <c r="J17" s="11" t="n">
        <f aca="false">Assumptions!$D$23/12</f>
        <v>7500</v>
      </c>
      <c r="K17" s="11" t="n">
        <f aca="false">Assumptions!$D$23/12</f>
        <v>7500</v>
      </c>
      <c r="L17" s="11" t="n">
        <f aca="false">Assumptions!$D$23/12</f>
        <v>7500</v>
      </c>
      <c r="M17" s="11" t="n">
        <f aca="false">Assumptions!$D$23/12</f>
        <v>7500</v>
      </c>
      <c r="N17" s="11" t="n">
        <f aca="false">Assumptions!$D$23/12</f>
        <v>7500</v>
      </c>
      <c r="O17" s="11" t="n">
        <f aca="false">Assumptions!$D$23/12</f>
        <v>7500</v>
      </c>
      <c r="P17" s="7" t="n">
        <f aca="false">SUM(Q17:AB17)</f>
        <v>93150</v>
      </c>
      <c r="Q17" s="11" t="n">
        <f aca="false">Assumptions!$D$23*(1+Assumptions!$C$17)/12</f>
        <v>7762.5</v>
      </c>
      <c r="R17" s="11" t="n">
        <f aca="false">Assumptions!$D$23*(1+Assumptions!$C$17)/12</f>
        <v>7762.5</v>
      </c>
      <c r="S17" s="11" t="n">
        <f aca="false">Assumptions!$D$23*(1+Assumptions!$C$17)/12</f>
        <v>7762.5</v>
      </c>
      <c r="T17" s="11" t="n">
        <f aca="false">Assumptions!$D$23*(1+Assumptions!$C$17)/12</f>
        <v>7762.5</v>
      </c>
      <c r="U17" s="11" t="n">
        <f aca="false">Assumptions!$D$23*(1+Assumptions!$C$17)/12</f>
        <v>7762.5</v>
      </c>
      <c r="V17" s="11" t="n">
        <f aca="false">Assumptions!$D$23*(1+Assumptions!$C$17)/12</f>
        <v>7762.5</v>
      </c>
      <c r="W17" s="11" t="n">
        <f aca="false">Assumptions!$D$23*(1+Assumptions!$C$17)/12</f>
        <v>7762.5</v>
      </c>
      <c r="X17" s="11" t="n">
        <f aca="false">Assumptions!$D$23*(1+Assumptions!$C$17)/12</f>
        <v>7762.5</v>
      </c>
      <c r="Y17" s="11" t="n">
        <f aca="false">Assumptions!$D$23*(1+Assumptions!$C$17)/12</f>
        <v>7762.5</v>
      </c>
      <c r="Z17" s="11" t="n">
        <f aca="false">Assumptions!$D$23*(1+Assumptions!$C$17)/12</f>
        <v>7762.5</v>
      </c>
      <c r="AA17" s="11" t="n">
        <f aca="false">Assumptions!$D$23*(1+Assumptions!$C$17)/12</f>
        <v>7762.5</v>
      </c>
      <c r="AB17" s="11" t="n">
        <f aca="false">Assumptions!$D$23*(1+Assumptions!$C$17)/12</f>
        <v>7762.5</v>
      </c>
    </row>
    <row r="18" customFormat="false" ht="15" hidden="false" customHeight="false" outlineLevel="0" collapsed="false">
      <c r="B18" s="0" t="s">
        <v>23</v>
      </c>
      <c r="C18" s="7" t="n">
        <f aca="false">SUM(D18:O18)</f>
        <v>140000</v>
      </c>
      <c r="D18" s="11" t="n">
        <f aca="false">Assumptions!$D$24/12</f>
        <v>11666.6666666667</v>
      </c>
      <c r="E18" s="11" t="n">
        <f aca="false">Assumptions!$D$24/12</f>
        <v>11666.6666666667</v>
      </c>
      <c r="F18" s="11" t="n">
        <f aca="false">Assumptions!$D$24/12</f>
        <v>11666.6666666667</v>
      </c>
      <c r="G18" s="11" t="n">
        <f aca="false">Assumptions!$D$24/12</f>
        <v>11666.6666666667</v>
      </c>
      <c r="H18" s="11" t="n">
        <f aca="false">Assumptions!$D$24/12</f>
        <v>11666.6666666667</v>
      </c>
      <c r="I18" s="11" t="n">
        <f aca="false">Assumptions!$D$24/12</f>
        <v>11666.6666666667</v>
      </c>
      <c r="J18" s="11" t="n">
        <f aca="false">Assumptions!$D$24/12</f>
        <v>11666.6666666667</v>
      </c>
      <c r="K18" s="11" t="n">
        <f aca="false">Assumptions!$D$24/12</f>
        <v>11666.6666666667</v>
      </c>
      <c r="L18" s="11" t="n">
        <f aca="false">Assumptions!$D$24/12</f>
        <v>11666.6666666667</v>
      </c>
      <c r="M18" s="11" t="n">
        <f aca="false">Assumptions!$D$24/12</f>
        <v>11666.6666666667</v>
      </c>
      <c r="N18" s="11" t="n">
        <f aca="false">Assumptions!$D$24/12</f>
        <v>11666.6666666667</v>
      </c>
      <c r="O18" s="11" t="n">
        <f aca="false">Assumptions!$D$24/12</f>
        <v>11666.6666666667</v>
      </c>
      <c r="P18" s="7" t="n">
        <f aca="false">SUM(Q18:AB18)</f>
        <v>144900</v>
      </c>
      <c r="Q18" s="11" t="n">
        <f aca="false">Assumptions!$D$24*(1+Assumptions!$C$17)/12</f>
        <v>12075</v>
      </c>
      <c r="R18" s="11" t="n">
        <f aca="false">Assumptions!$D$24*(1+Assumptions!$C$17)/12</f>
        <v>12075</v>
      </c>
      <c r="S18" s="11" t="n">
        <f aca="false">Assumptions!$D$24*(1+Assumptions!$C$17)/12</f>
        <v>12075</v>
      </c>
      <c r="T18" s="11" t="n">
        <f aca="false">Assumptions!$D$24*(1+Assumptions!$C$17)/12</f>
        <v>12075</v>
      </c>
      <c r="U18" s="11" t="n">
        <f aca="false">Assumptions!$D$24*(1+Assumptions!$C$17)/12</f>
        <v>12075</v>
      </c>
      <c r="V18" s="11" t="n">
        <f aca="false">Assumptions!$D$24*(1+Assumptions!$C$17)/12</f>
        <v>12075</v>
      </c>
      <c r="W18" s="11" t="n">
        <f aca="false">Assumptions!$D$24*(1+Assumptions!$C$17)/12</f>
        <v>12075</v>
      </c>
      <c r="X18" s="11" t="n">
        <f aca="false">Assumptions!$D$24*(1+Assumptions!$C$17)/12</f>
        <v>12075</v>
      </c>
      <c r="Y18" s="11" t="n">
        <f aca="false">Assumptions!$D$24*(1+Assumptions!$C$17)/12</f>
        <v>12075</v>
      </c>
      <c r="Z18" s="11" t="n">
        <f aca="false">Assumptions!$D$24*(1+Assumptions!$C$17)/12</f>
        <v>12075</v>
      </c>
      <c r="AA18" s="11" t="n">
        <f aca="false">Assumptions!$D$24*(1+Assumptions!$C$17)/12</f>
        <v>12075</v>
      </c>
      <c r="AB18" s="11" t="n">
        <f aca="false">Assumptions!$D$24*(1+Assumptions!$C$17)/12</f>
        <v>12075</v>
      </c>
    </row>
    <row r="19" customFormat="false" ht="15" hidden="false" customHeight="false" outlineLevel="0" collapsed="false">
      <c r="B19" s="0" t="s">
        <v>24</v>
      </c>
      <c r="C19" s="7" t="n">
        <f aca="false">SUM(D19:O19)</f>
        <v>60000</v>
      </c>
      <c r="D19" s="11" t="n">
        <f aca="false">Assumptions!$D$25/12</f>
        <v>5000</v>
      </c>
      <c r="E19" s="11" t="n">
        <f aca="false">Assumptions!$D$25/12</f>
        <v>5000</v>
      </c>
      <c r="F19" s="11" t="n">
        <f aca="false">Assumptions!$D$25/12</f>
        <v>5000</v>
      </c>
      <c r="G19" s="11" t="n">
        <f aca="false">Assumptions!$D$25/12</f>
        <v>5000</v>
      </c>
      <c r="H19" s="11" t="n">
        <f aca="false">Assumptions!$D$25/12</f>
        <v>5000</v>
      </c>
      <c r="I19" s="11" t="n">
        <f aca="false">Assumptions!$D$25/12</f>
        <v>5000</v>
      </c>
      <c r="J19" s="11" t="n">
        <f aca="false">Assumptions!$D$25/12</f>
        <v>5000</v>
      </c>
      <c r="K19" s="11" t="n">
        <f aca="false">Assumptions!$D$25/12</f>
        <v>5000</v>
      </c>
      <c r="L19" s="11" t="n">
        <f aca="false">Assumptions!$D$25/12</f>
        <v>5000</v>
      </c>
      <c r="M19" s="11" t="n">
        <f aca="false">Assumptions!$D$25/12</f>
        <v>5000</v>
      </c>
      <c r="N19" s="11" t="n">
        <f aca="false">Assumptions!$D$25/12</f>
        <v>5000</v>
      </c>
      <c r="O19" s="11" t="n">
        <f aca="false">Assumptions!$D$25/12</f>
        <v>5000</v>
      </c>
      <c r="P19" s="7" t="n">
        <f aca="false">SUM(Q19:AB19)</f>
        <v>62100</v>
      </c>
      <c r="Q19" s="11" t="n">
        <f aca="false">Assumptions!$D$25*(1+Assumptions!$C$17)/12</f>
        <v>5175</v>
      </c>
      <c r="R19" s="11" t="n">
        <f aca="false">Assumptions!$D$25*(1+Assumptions!$C$17)/12</f>
        <v>5175</v>
      </c>
      <c r="S19" s="11" t="n">
        <f aca="false">Assumptions!$D$25*(1+Assumptions!$C$17)/12</f>
        <v>5175</v>
      </c>
      <c r="T19" s="11" t="n">
        <f aca="false">Assumptions!$D$25*(1+Assumptions!$C$17)/12</f>
        <v>5175</v>
      </c>
      <c r="U19" s="11" t="n">
        <f aca="false">Assumptions!$D$25*(1+Assumptions!$C$17)/12</f>
        <v>5175</v>
      </c>
      <c r="V19" s="11" t="n">
        <f aca="false">Assumptions!$D$25*(1+Assumptions!$C$17)/12</f>
        <v>5175</v>
      </c>
      <c r="W19" s="11" t="n">
        <f aca="false">Assumptions!$D$25*(1+Assumptions!$C$17)/12</f>
        <v>5175</v>
      </c>
      <c r="X19" s="11" t="n">
        <f aca="false">Assumptions!$D$25*(1+Assumptions!$C$17)/12</f>
        <v>5175</v>
      </c>
      <c r="Y19" s="11" t="n">
        <f aca="false">Assumptions!$D$25*(1+Assumptions!$C$17)/12</f>
        <v>5175</v>
      </c>
      <c r="Z19" s="11" t="n">
        <f aca="false">Assumptions!$D$25*(1+Assumptions!$C$17)/12</f>
        <v>5175</v>
      </c>
      <c r="AA19" s="11" t="n">
        <f aca="false">Assumptions!$D$25*(1+Assumptions!$C$17)/12</f>
        <v>5175</v>
      </c>
      <c r="AB19" s="11" t="n">
        <f aca="false">Assumptions!$D$25*(1+Assumptions!$C$17)/12</f>
        <v>5175</v>
      </c>
    </row>
    <row r="20" customFormat="false" ht="15" hidden="false" customHeight="false" outlineLevel="0" collapsed="false">
      <c r="B20" s="0" t="s">
        <v>25</v>
      </c>
      <c r="C20" s="7" t="n">
        <f aca="false">SUM(D20:O20)</f>
        <v>40000</v>
      </c>
      <c r="D20" s="11" t="n">
        <f aca="false">Assumptions!$D$26/12</f>
        <v>3333.33333333333</v>
      </c>
      <c r="E20" s="11" t="n">
        <f aca="false">Assumptions!$D$26/12</f>
        <v>3333.33333333333</v>
      </c>
      <c r="F20" s="11" t="n">
        <f aca="false">Assumptions!$D$26/12</f>
        <v>3333.33333333333</v>
      </c>
      <c r="G20" s="11" t="n">
        <f aca="false">Assumptions!$D$26/12</f>
        <v>3333.33333333333</v>
      </c>
      <c r="H20" s="11" t="n">
        <f aca="false">Assumptions!$D$26/12</f>
        <v>3333.33333333333</v>
      </c>
      <c r="I20" s="11" t="n">
        <f aca="false">Assumptions!$D$26/12</f>
        <v>3333.33333333333</v>
      </c>
      <c r="J20" s="11" t="n">
        <f aca="false">Assumptions!$D$26/12</f>
        <v>3333.33333333333</v>
      </c>
      <c r="K20" s="11" t="n">
        <f aca="false">Assumptions!$D$26/12</f>
        <v>3333.33333333333</v>
      </c>
      <c r="L20" s="11" t="n">
        <f aca="false">Assumptions!$D$26/12</f>
        <v>3333.33333333333</v>
      </c>
      <c r="M20" s="11" t="n">
        <f aca="false">Assumptions!$D$26/12</f>
        <v>3333.33333333333</v>
      </c>
      <c r="N20" s="11" t="n">
        <f aca="false">Assumptions!$D$26/12</f>
        <v>3333.33333333333</v>
      </c>
      <c r="O20" s="11" t="n">
        <f aca="false">Assumptions!$D$26/12</f>
        <v>3333.33333333333</v>
      </c>
      <c r="P20" s="7" t="n">
        <f aca="false">SUM(Q20:AB20)</f>
        <v>41400</v>
      </c>
      <c r="Q20" s="11" t="n">
        <f aca="false">Assumptions!$D$26*(1+Assumptions!$C$17)/12</f>
        <v>3450</v>
      </c>
      <c r="R20" s="11" t="n">
        <f aca="false">Assumptions!$D$26*(1+Assumptions!$C$17)/12</f>
        <v>3450</v>
      </c>
      <c r="S20" s="11" t="n">
        <f aca="false">Assumptions!$D$26*(1+Assumptions!$C$17)/12</f>
        <v>3450</v>
      </c>
      <c r="T20" s="11" t="n">
        <f aca="false">Assumptions!$D$26*(1+Assumptions!$C$17)/12</f>
        <v>3450</v>
      </c>
      <c r="U20" s="11" t="n">
        <f aca="false">Assumptions!$D$26*(1+Assumptions!$C$17)/12</f>
        <v>3450</v>
      </c>
      <c r="V20" s="11" t="n">
        <f aca="false">Assumptions!$D$26*(1+Assumptions!$C$17)/12</f>
        <v>3450</v>
      </c>
      <c r="W20" s="11" t="n">
        <f aca="false">Assumptions!$D$26*(1+Assumptions!$C$17)/12</f>
        <v>3450</v>
      </c>
      <c r="X20" s="11" t="n">
        <f aca="false">Assumptions!$D$26*(1+Assumptions!$C$17)/12</f>
        <v>3450</v>
      </c>
      <c r="Y20" s="11" t="n">
        <f aca="false">Assumptions!$D$26*(1+Assumptions!$C$17)/12</f>
        <v>3450</v>
      </c>
      <c r="Z20" s="11" t="n">
        <f aca="false">Assumptions!$D$26*(1+Assumptions!$C$17)/12</f>
        <v>3450</v>
      </c>
      <c r="AA20" s="11" t="n">
        <f aca="false">Assumptions!$D$26*(1+Assumptions!$C$17)/12</f>
        <v>3450</v>
      </c>
      <c r="AB20" s="11" t="n">
        <f aca="false">Assumptions!$D$26*(1+Assumptions!$C$17)/12</f>
        <v>3450</v>
      </c>
    </row>
    <row r="21" customFormat="false" ht="15" hidden="false" customHeight="false" outlineLevel="0" collapsed="false">
      <c r="B21" s="0" t="s">
        <v>26</v>
      </c>
      <c r="C21" s="7" t="n">
        <f aca="false">SUM(D21:O21)</f>
        <v>160000</v>
      </c>
      <c r="D21" s="11" t="n">
        <f aca="false">Assumptions!$D$27/12</f>
        <v>13333.3333333333</v>
      </c>
      <c r="E21" s="11" t="n">
        <f aca="false">Assumptions!$D$27/12</f>
        <v>13333.3333333333</v>
      </c>
      <c r="F21" s="11" t="n">
        <f aca="false">Assumptions!$D$27/12</f>
        <v>13333.3333333333</v>
      </c>
      <c r="G21" s="11" t="n">
        <f aca="false">Assumptions!$D$27/12</f>
        <v>13333.3333333333</v>
      </c>
      <c r="H21" s="11" t="n">
        <f aca="false">Assumptions!$D$27/12</f>
        <v>13333.3333333333</v>
      </c>
      <c r="I21" s="11" t="n">
        <f aca="false">Assumptions!$D$27/12</f>
        <v>13333.3333333333</v>
      </c>
      <c r="J21" s="11" t="n">
        <f aca="false">Assumptions!$D$27/12</f>
        <v>13333.3333333333</v>
      </c>
      <c r="K21" s="11" t="n">
        <f aca="false">Assumptions!$D$27/12</f>
        <v>13333.3333333333</v>
      </c>
      <c r="L21" s="11" t="n">
        <f aca="false">Assumptions!$D$27/12</f>
        <v>13333.3333333333</v>
      </c>
      <c r="M21" s="11" t="n">
        <f aca="false">Assumptions!$D$27/12</f>
        <v>13333.3333333333</v>
      </c>
      <c r="N21" s="11" t="n">
        <f aca="false">Assumptions!$D$27/12</f>
        <v>13333.3333333333</v>
      </c>
      <c r="O21" s="11" t="n">
        <f aca="false">Assumptions!$D$27/12</f>
        <v>13333.3333333333</v>
      </c>
      <c r="P21" s="7" t="n">
        <f aca="false">SUM(Q21:AB21)</f>
        <v>165600</v>
      </c>
      <c r="Q21" s="11" t="n">
        <f aca="false">Assumptions!$D$27*(1+Assumptions!$C$17)/12</f>
        <v>13800</v>
      </c>
      <c r="R21" s="11" t="n">
        <f aca="false">Assumptions!$D$27*(1+Assumptions!$C$17)/12</f>
        <v>13800</v>
      </c>
      <c r="S21" s="11" t="n">
        <f aca="false">Assumptions!$D$27*(1+Assumptions!$C$17)/12</f>
        <v>13800</v>
      </c>
      <c r="T21" s="11" t="n">
        <f aca="false">Assumptions!$D$27*(1+Assumptions!$C$17)/12</f>
        <v>13800</v>
      </c>
      <c r="U21" s="11" t="n">
        <f aca="false">Assumptions!$D$27*(1+Assumptions!$C$17)/12</f>
        <v>13800</v>
      </c>
      <c r="V21" s="11" t="n">
        <f aca="false">Assumptions!$D$27*(1+Assumptions!$C$17)/12</f>
        <v>13800</v>
      </c>
      <c r="W21" s="11" t="n">
        <f aca="false">Assumptions!$D$27*(1+Assumptions!$C$17)/12</f>
        <v>13800</v>
      </c>
      <c r="X21" s="11" t="n">
        <f aca="false">Assumptions!$D$27*(1+Assumptions!$C$17)/12</f>
        <v>13800</v>
      </c>
      <c r="Y21" s="11" t="n">
        <f aca="false">Assumptions!$D$27*(1+Assumptions!$C$17)/12</f>
        <v>13800</v>
      </c>
      <c r="Z21" s="11" t="n">
        <f aca="false">Assumptions!$D$27*(1+Assumptions!$C$17)/12</f>
        <v>13800</v>
      </c>
      <c r="AA21" s="11" t="n">
        <f aca="false">Assumptions!$D$27*(1+Assumptions!$C$17)/12</f>
        <v>13800</v>
      </c>
      <c r="AB21" s="11" t="n">
        <f aca="false">Assumptions!$D$27*(1+Assumptions!$C$17)/12</f>
        <v>13800</v>
      </c>
    </row>
    <row r="22" customFormat="false" ht="15" hidden="false" customHeight="false" outlineLevel="0" collapsed="false">
      <c r="B22" s="0" t="s">
        <v>27</v>
      </c>
      <c r="C22" s="7" t="n">
        <f aca="false">SUM(D22:O22)</f>
        <v>80000</v>
      </c>
      <c r="D22" s="11" t="n">
        <f aca="false">Assumptions!$D$28/12</f>
        <v>6666.66666666667</v>
      </c>
      <c r="E22" s="11" t="n">
        <f aca="false">Assumptions!$D$28/12</f>
        <v>6666.66666666667</v>
      </c>
      <c r="F22" s="11" t="n">
        <f aca="false">Assumptions!$D$28/12</f>
        <v>6666.66666666667</v>
      </c>
      <c r="G22" s="11" t="n">
        <f aca="false">Assumptions!$D$28/12</f>
        <v>6666.66666666667</v>
      </c>
      <c r="H22" s="11" t="n">
        <f aca="false">Assumptions!$D$28/12</f>
        <v>6666.66666666667</v>
      </c>
      <c r="I22" s="11" t="n">
        <f aca="false">Assumptions!$D$28/12</f>
        <v>6666.66666666667</v>
      </c>
      <c r="J22" s="11" t="n">
        <f aca="false">Assumptions!$D$28/12</f>
        <v>6666.66666666667</v>
      </c>
      <c r="K22" s="11" t="n">
        <f aca="false">Assumptions!$D$28/12</f>
        <v>6666.66666666667</v>
      </c>
      <c r="L22" s="11" t="n">
        <f aca="false">Assumptions!$D$28/12</f>
        <v>6666.66666666667</v>
      </c>
      <c r="M22" s="11" t="n">
        <f aca="false">Assumptions!$D$28/12</f>
        <v>6666.66666666667</v>
      </c>
      <c r="N22" s="11" t="n">
        <f aca="false">Assumptions!$D$28/12</f>
        <v>6666.66666666667</v>
      </c>
      <c r="O22" s="11" t="n">
        <f aca="false">Assumptions!$D$28/12</f>
        <v>6666.66666666667</v>
      </c>
      <c r="P22" s="7" t="n">
        <f aca="false">SUM(Q22:AB22)</f>
        <v>82800</v>
      </c>
      <c r="Q22" s="11" t="n">
        <f aca="false">Assumptions!$D$28*(1+Assumptions!$C$17)/12</f>
        <v>6900</v>
      </c>
      <c r="R22" s="11" t="n">
        <f aca="false">Assumptions!$D$28*(1+Assumptions!$C$17)/12</f>
        <v>6900</v>
      </c>
      <c r="S22" s="11" t="n">
        <f aca="false">Assumptions!$D$28*(1+Assumptions!$C$17)/12</f>
        <v>6900</v>
      </c>
      <c r="T22" s="11" t="n">
        <f aca="false">Assumptions!$D$28*(1+Assumptions!$C$17)/12</f>
        <v>6900</v>
      </c>
      <c r="U22" s="11" t="n">
        <f aca="false">Assumptions!$D$28*(1+Assumptions!$C$17)/12</f>
        <v>6900</v>
      </c>
      <c r="V22" s="11" t="n">
        <f aca="false">Assumptions!$D$28*(1+Assumptions!$C$17)/12</f>
        <v>6900</v>
      </c>
      <c r="W22" s="11" t="n">
        <f aca="false">Assumptions!$D$28*(1+Assumptions!$C$17)/12</f>
        <v>6900</v>
      </c>
      <c r="X22" s="11" t="n">
        <f aca="false">Assumptions!$D$28*(1+Assumptions!$C$17)/12</f>
        <v>6900</v>
      </c>
      <c r="Y22" s="11" t="n">
        <f aca="false">Assumptions!$D$28*(1+Assumptions!$C$17)/12</f>
        <v>6900</v>
      </c>
      <c r="Z22" s="11" t="n">
        <f aca="false">Assumptions!$D$28*(1+Assumptions!$C$17)/12</f>
        <v>6900</v>
      </c>
      <c r="AA22" s="11" t="n">
        <f aca="false">Assumptions!$D$28*(1+Assumptions!$C$17)/12</f>
        <v>6900</v>
      </c>
      <c r="AB22" s="11" t="n">
        <f aca="false">Assumptions!$D$28*(1+Assumptions!$C$17)/12</f>
        <v>6900</v>
      </c>
    </row>
    <row r="23" customFormat="false" ht="15" hidden="false" customHeight="false" outlineLevel="0" collapsed="false">
      <c r="B23" s="3" t="s">
        <v>83</v>
      </c>
      <c r="C23" s="5" t="n">
        <f aca="false">SUM(D23:O23)</f>
        <v>1218250</v>
      </c>
      <c r="D23" s="5" t="n">
        <f aca="false">SUM(D15:D22)</f>
        <v>100245.833333333</v>
      </c>
      <c r="E23" s="5" t="n">
        <f aca="false">SUM(E15:E22)</f>
        <v>100245.833333333</v>
      </c>
      <c r="F23" s="5" t="n">
        <f aca="false">SUM(F15:F22)</f>
        <v>100670.833333333</v>
      </c>
      <c r="G23" s="5" t="n">
        <f aca="false">SUM(G15:G22)</f>
        <v>100670.833333333</v>
      </c>
      <c r="H23" s="5" t="n">
        <f aca="false">SUM(H15:H22)</f>
        <v>101095.833333333</v>
      </c>
      <c r="I23" s="5" t="n">
        <f aca="false">SUM(I15:I22)</f>
        <v>101520.833333333</v>
      </c>
      <c r="J23" s="5" t="n">
        <f aca="false">SUM(J15:J22)</f>
        <v>101095.833333333</v>
      </c>
      <c r="K23" s="5" t="n">
        <f aca="false">SUM(K15:K22)</f>
        <v>100670.833333333</v>
      </c>
      <c r="L23" s="5" t="n">
        <f aca="false">SUM(L15:L22)</f>
        <v>101520.833333333</v>
      </c>
      <c r="M23" s="5" t="n">
        <f aca="false">SUM(M15:M22)</f>
        <v>101945.833333333</v>
      </c>
      <c r="N23" s="5" t="n">
        <f aca="false">SUM(N15:N22)</f>
        <v>104070.833333333</v>
      </c>
      <c r="O23" s="5" t="n">
        <f aca="false">SUM(O15:O22)</f>
        <v>104495.833333333</v>
      </c>
      <c r="P23" s="5" t="n">
        <f aca="false">SUM(Q23:AB23)</f>
        <v>1275318.75</v>
      </c>
      <c r="Q23" s="5" t="n">
        <f aca="false">SUM(Q15:Q22)</f>
        <v>104776.5625</v>
      </c>
      <c r="R23" s="5" t="n">
        <f aca="false">SUM(R15:R22)</f>
        <v>104776.5625</v>
      </c>
      <c r="S23" s="5" t="n">
        <f aca="false">SUM(S15:S22)</f>
        <v>105276.5625</v>
      </c>
      <c r="T23" s="5" t="n">
        <f aca="false">SUM(T15:T22)</f>
        <v>105276.5625</v>
      </c>
      <c r="U23" s="5" t="n">
        <f aca="false">SUM(U15:U22)</f>
        <v>105776.5625</v>
      </c>
      <c r="V23" s="5" t="n">
        <f aca="false">SUM(V15:V22)</f>
        <v>106276.5625</v>
      </c>
      <c r="W23" s="5" t="n">
        <f aca="false">SUM(W15:W22)</f>
        <v>105776.5625</v>
      </c>
      <c r="X23" s="5" t="n">
        <f aca="false">SUM(X15:X22)</f>
        <v>105276.5625</v>
      </c>
      <c r="Y23" s="5" t="n">
        <f aca="false">SUM(Y15:Y22)</f>
        <v>106276.5625</v>
      </c>
      <c r="Z23" s="5" t="n">
        <f aca="false">SUM(Z15:Z22)</f>
        <v>106776.5625</v>
      </c>
      <c r="AA23" s="5" t="n">
        <f aca="false">SUM(AA15:AA22)</f>
        <v>109276.5625</v>
      </c>
      <c r="AB23" s="5" t="n">
        <f aca="false">SUM(AB15:AB22)</f>
        <v>109776.5625</v>
      </c>
    </row>
    <row r="25" customFormat="false" ht="15" hidden="false" customHeight="false" outlineLevel="0" collapsed="false">
      <c r="B25" s="3" t="s">
        <v>84</v>
      </c>
      <c r="C25" s="5" t="n">
        <f aca="false">SUM(D25:O25)</f>
        <v>1194050</v>
      </c>
      <c r="D25" s="5" t="n">
        <f aca="false">D11-D23</f>
        <v>70625.4166666667</v>
      </c>
      <c r="E25" s="5" t="n">
        <f aca="false">E11-E23</f>
        <v>70625.4166666667</v>
      </c>
      <c r="F25" s="5" t="n">
        <f aca="false">F11-F23</f>
        <v>80251.6666666667</v>
      </c>
      <c r="G25" s="5" t="n">
        <f aca="false">G11-G23</f>
        <v>80251.6666666667</v>
      </c>
      <c r="H25" s="5" t="n">
        <f aca="false">H11-H23</f>
        <v>89877.9166666667</v>
      </c>
      <c r="I25" s="5" t="n">
        <f aca="false">I11-I23</f>
        <v>99504.1666666667</v>
      </c>
      <c r="J25" s="5" t="n">
        <f aca="false">J11-J23</f>
        <v>89877.9166666667</v>
      </c>
      <c r="K25" s="5" t="n">
        <f aca="false">K11-K23</f>
        <v>80251.6666666667</v>
      </c>
      <c r="L25" s="5" t="n">
        <f aca="false">L11-L23</f>
        <v>99504.1666666667</v>
      </c>
      <c r="M25" s="5" t="n">
        <f aca="false">M11-M23</f>
        <v>109130.416666667</v>
      </c>
      <c r="N25" s="5" t="n">
        <f aca="false">N11-N23</f>
        <v>157261.666666667</v>
      </c>
      <c r="O25" s="5" t="n">
        <f aca="false">O11-O23</f>
        <v>166887.916666667</v>
      </c>
      <c r="P25" s="5" t="n">
        <f aca="false">SUM(Q25:AB25)</f>
        <v>1562681.25</v>
      </c>
      <c r="Q25" s="5" t="n">
        <f aca="false">Q11-Q23</f>
        <v>96248.4375</v>
      </c>
      <c r="R25" s="5" t="n">
        <f aca="false">R11-R23</f>
        <v>96248.4375</v>
      </c>
      <c r="S25" s="5" t="n">
        <f aca="false">S11-S23</f>
        <v>107573.4375</v>
      </c>
      <c r="T25" s="5" t="n">
        <f aca="false">T11-T23</f>
        <v>107573.4375</v>
      </c>
      <c r="U25" s="5" t="n">
        <f aca="false">U11-U23</f>
        <v>118898.4375</v>
      </c>
      <c r="V25" s="5" t="n">
        <f aca="false">V11-V23</f>
        <v>130223.4375</v>
      </c>
      <c r="W25" s="5" t="n">
        <f aca="false">W11-W23</f>
        <v>118898.4375</v>
      </c>
      <c r="X25" s="5" t="n">
        <f aca="false">X11-X23</f>
        <v>107573.4375</v>
      </c>
      <c r="Y25" s="5" t="n">
        <f aca="false">Y11-Y23</f>
        <v>130223.4375</v>
      </c>
      <c r="Z25" s="5" t="n">
        <f aca="false">Z11-Z23</f>
        <v>141548.4375</v>
      </c>
      <c r="AA25" s="5" t="n">
        <f aca="false">AA11-AA23</f>
        <v>198173.4375</v>
      </c>
      <c r="AB25" s="5" t="n">
        <f aca="false">AB11-AB23</f>
        <v>209498.4375</v>
      </c>
    </row>
    <row r="26" customFormat="false" ht="15" hidden="false" customHeight="false" outlineLevel="0" collapsed="false">
      <c r="B26" s="12" t="s">
        <v>85</v>
      </c>
      <c r="C26" s="13" t="n">
        <f aca="false">IF(C6=0,0,C25/C6)</f>
        <v>0.234127450980392</v>
      </c>
      <c r="D26" s="13" t="n">
        <f aca="false">IF(D6=0,0,D25/D6)</f>
        <v>0.195502883506344</v>
      </c>
      <c r="E26" s="13" t="n">
        <f aca="false">IF(E6=0,0,E25/E6)</f>
        <v>0.195502883506344</v>
      </c>
      <c r="F26" s="13" t="n">
        <f aca="false">IF(F6=0,0,F25/F6)</f>
        <v>0.209808278867102</v>
      </c>
      <c r="G26" s="13" t="n">
        <f aca="false">IF(G6=0,0,G25/G6)</f>
        <v>0.209808278867102</v>
      </c>
      <c r="H26" s="13" t="n">
        <f aca="false">IF(H6=0,0,H25/H6)</f>
        <v>0.222607843137255</v>
      </c>
      <c r="I26" s="13" t="n">
        <f aca="false">IF(I6=0,0,I25/I6)</f>
        <v>0.234127450980392</v>
      </c>
      <c r="J26" s="13" t="n">
        <f aca="false">IF(J6=0,0,J25/J6)</f>
        <v>0.222607843137255</v>
      </c>
      <c r="K26" s="13" t="n">
        <f aca="false">IF(K6=0,0,K25/K6)</f>
        <v>0.209808278867102</v>
      </c>
      <c r="L26" s="13" t="n">
        <f aca="false">IF(L6=0,0,L25/L6)</f>
        <v>0.234127450980392</v>
      </c>
      <c r="M26" s="13" t="n">
        <f aca="false">IF(M6=0,0,M25/M6)</f>
        <v>0.244549953314659</v>
      </c>
      <c r="N26" s="13" t="n">
        <f aca="false">IF(N6=0,0,N25/N6)</f>
        <v>0.284636500754148</v>
      </c>
      <c r="O26" s="13" t="n">
        <f aca="false">IF(O6=0,0,O25/O6)</f>
        <v>0.290872185911402</v>
      </c>
      <c r="P26" s="13" t="n">
        <f aca="false">IF(P6=0,0,P25/P6)</f>
        <v>0.260446875</v>
      </c>
      <c r="Q26" s="13" t="n">
        <f aca="false">IF(Q6=0,0,Q25/Q6)</f>
        <v>0.226466911764706</v>
      </c>
      <c r="R26" s="13" t="n">
        <f aca="false">IF(R6=0,0,R25/R6)</f>
        <v>0.226466911764706</v>
      </c>
      <c r="S26" s="13" t="n">
        <f aca="false">IF(S6=0,0,S25/S6)</f>
        <v>0.239052083333333</v>
      </c>
      <c r="T26" s="13" t="n">
        <f aca="false">IF(T6=0,0,T25/T6)</f>
        <v>0.239052083333333</v>
      </c>
      <c r="U26" s="13" t="n">
        <f aca="false">IF(U6=0,0,U25/U6)</f>
        <v>0.2503125</v>
      </c>
      <c r="V26" s="13" t="n">
        <f aca="false">IF(V6=0,0,V25/V6)</f>
        <v>0.260446875</v>
      </c>
      <c r="W26" s="13" t="n">
        <f aca="false">IF(W6=0,0,W25/W6)</f>
        <v>0.2503125</v>
      </c>
      <c r="X26" s="13" t="n">
        <f aca="false">IF(X6=0,0,X25/X6)</f>
        <v>0.239052083333333</v>
      </c>
      <c r="Y26" s="13" t="n">
        <f aca="false">IF(Y6=0,0,Y25/Y6)</f>
        <v>0.260446875</v>
      </c>
      <c r="Z26" s="13" t="n">
        <f aca="false">IF(Z6=0,0,Z25/Z6)</f>
        <v>0.269616071428571</v>
      </c>
      <c r="AA26" s="13" t="n">
        <f aca="false">IF(AA6=0,0,AA25/AA6)</f>
        <v>0.304882211538462</v>
      </c>
      <c r="AB26" s="13" t="n">
        <f aca="false">IF(AB6=0,0,AB25/AB6)</f>
        <v>0.310368055555556</v>
      </c>
    </row>
    <row r="28" customFormat="false" ht="15" hidden="false" customHeight="false" outlineLevel="0" collapsed="false">
      <c r="B28" s="0" t="s">
        <v>86</v>
      </c>
      <c r="C28" s="7" t="n">
        <f aca="false">SUM(D28:O28)</f>
        <v>20000</v>
      </c>
      <c r="D28" s="11" t="n">
        <f aca="false">Assumptions!$C$19/12</f>
        <v>1666.66666666667</v>
      </c>
      <c r="E28" s="11" t="n">
        <f aca="false">Assumptions!$C$19/12</f>
        <v>1666.66666666667</v>
      </c>
      <c r="F28" s="11" t="n">
        <f aca="false">Assumptions!$C$19/12</f>
        <v>1666.66666666667</v>
      </c>
      <c r="G28" s="11" t="n">
        <f aca="false">Assumptions!$C$19/12</f>
        <v>1666.66666666667</v>
      </c>
      <c r="H28" s="11" t="n">
        <f aca="false">Assumptions!$C$19/12</f>
        <v>1666.66666666667</v>
      </c>
      <c r="I28" s="11" t="n">
        <f aca="false">Assumptions!$C$19/12</f>
        <v>1666.66666666667</v>
      </c>
      <c r="J28" s="11" t="n">
        <f aca="false">Assumptions!$C$19/12</f>
        <v>1666.66666666667</v>
      </c>
      <c r="K28" s="11" t="n">
        <f aca="false">Assumptions!$C$19/12</f>
        <v>1666.66666666667</v>
      </c>
      <c r="L28" s="11" t="n">
        <f aca="false">Assumptions!$C$19/12</f>
        <v>1666.66666666667</v>
      </c>
      <c r="M28" s="11" t="n">
        <f aca="false">Assumptions!$C$19/12</f>
        <v>1666.66666666667</v>
      </c>
      <c r="N28" s="11" t="n">
        <f aca="false">Assumptions!$C$19/12</f>
        <v>1666.66666666667</v>
      </c>
      <c r="O28" s="11" t="n">
        <f aca="false">Assumptions!$C$19/12</f>
        <v>1666.66666666667</v>
      </c>
      <c r="P28" s="7" t="n">
        <f aca="false">SUM(Q28:AB28)</f>
        <v>20000</v>
      </c>
      <c r="Q28" s="11" t="n">
        <f aca="false">Assumptions!$C$19/12</f>
        <v>1666.66666666667</v>
      </c>
      <c r="R28" s="11" t="n">
        <f aca="false">Assumptions!$C$19/12</f>
        <v>1666.66666666667</v>
      </c>
      <c r="S28" s="11" t="n">
        <f aca="false">Assumptions!$C$19/12</f>
        <v>1666.66666666667</v>
      </c>
      <c r="T28" s="11" t="n">
        <f aca="false">Assumptions!$C$19/12</f>
        <v>1666.66666666667</v>
      </c>
      <c r="U28" s="11" t="n">
        <f aca="false">Assumptions!$C$19/12</f>
        <v>1666.66666666667</v>
      </c>
      <c r="V28" s="11" t="n">
        <f aca="false">Assumptions!$C$19/12</f>
        <v>1666.66666666667</v>
      </c>
      <c r="W28" s="11" t="n">
        <f aca="false">Assumptions!$C$19/12</f>
        <v>1666.66666666667</v>
      </c>
      <c r="X28" s="11" t="n">
        <f aca="false">Assumptions!$C$19/12</f>
        <v>1666.66666666667</v>
      </c>
      <c r="Y28" s="11" t="n">
        <f aca="false">Assumptions!$C$19/12</f>
        <v>1666.66666666667</v>
      </c>
      <c r="Z28" s="11" t="n">
        <f aca="false">Assumptions!$C$19/12</f>
        <v>1666.66666666667</v>
      </c>
      <c r="AA28" s="11" t="n">
        <f aca="false">Assumptions!$C$19/12</f>
        <v>1666.66666666667</v>
      </c>
      <c r="AB28" s="11" t="n">
        <f aca="false">Assumptions!$C$19/12</f>
        <v>1666.66666666667</v>
      </c>
    </row>
    <row r="30" customFormat="false" ht="15" hidden="false" customHeight="false" outlineLevel="0" collapsed="false">
      <c r="B30" s="3" t="s">
        <v>87</v>
      </c>
      <c r="C30" s="5" t="n">
        <f aca="false">SUM(D30:O30)</f>
        <v>1174050</v>
      </c>
      <c r="D30" s="5" t="n">
        <f aca="false">D25-D28</f>
        <v>68958.75</v>
      </c>
      <c r="E30" s="5" t="n">
        <f aca="false">E25-E28</f>
        <v>68958.75</v>
      </c>
      <c r="F30" s="5" t="n">
        <f aca="false">F25-F28</f>
        <v>78585</v>
      </c>
      <c r="G30" s="5" t="n">
        <f aca="false">G25-G28</f>
        <v>78585</v>
      </c>
      <c r="H30" s="5" t="n">
        <f aca="false">H25-H28</f>
        <v>88211.25</v>
      </c>
      <c r="I30" s="5" t="n">
        <f aca="false">I25-I28</f>
        <v>97837.5</v>
      </c>
      <c r="J30" s="5" t="n">
        <f aca="false">J25-J28</f>
        <v>88211.25</v>
      </c>
      <c r="K30" s="5" t="n">
        <f aca="false">K25-K28</f>
        <v>78585</v>
      </c>
      <c r="L30" s="5" t="n">
        <f aca="false">L25-L28</f>
        <v>97837.5</v>
      </c>
      <c r="M30" s="5" t="n">
        <f aca="false">M25-M28</f>
        <v>107463.75</v>
      </c>
      <c r="N30" s="5" t="n">
        <f aca="false">N25-N28</f>
        <v>155595</v>
      </c>
      <c r="O30" s="5" t="n">
        <f aca="false">O25-O28</f>
        <v>165221.25</v>
      </c>
      <c r="P30" s="5" t="n">
        <f aca="false">SUM(Q30:AB30)</f>
        <v>1542681.25</v>
      </c>
      <c r="Q30" s="5" t="n">
        <f aca="false">Q25-Q28</f>
        <v>94581.7708333333</v>
      </c>
      <c r="R30" s="5" t="n">
        <f aca="false">R25-R28</f>
        <v>94581.7708333333</v>
      </c>
      <c r="S30" s="5" t="n">
        <f aca="false">S25-S28</f>
        <v>105906.770833333</v>
      </c>
      <c r="T30" s="5" t="n">
        <f aca="false">T25-T28</f>
        <v>105906.770833333</v>
      </c>
      <c r="U30" s="5" t="n">
        <f aca="false">U25-U28</f>
        <v>117231.770833333</v>
      </c>
      <c r="V30" s="5" t="n">
        <f aca="false">V25-V28</f>
        <v>128556.770833333</v>
      </c>
      <c r="W30" s="5" t="n">
        <f aca="false">W25-W28</f>
        <v>117231.770833333</v>
      </c>
      <c r="X30" s="5" t="n">
        <f aca="false">X25-X28</f>
        <v>105906.770833333</v>
      </c>
      <c r="Y30" s="5" t="n">
        <f aca="false">Y25-Y28</f>
        <v>128556.770833333</v>
      </c>
      <c r="Z30" s="5" t="n">
        <f aca="false">Z25-Z28</f>
        <v>139881.770833333</v>
      </c>
      <c r="AA30" s="5" t="n">
        <f aca="false">AA25-AA28</f>
        <v>196506.770833333</v>
      </c>
      <c r="AB30" s="5" t="n">
        <f aca="false">AB25-AB28</f>
        <v>207831.770833333</v>
      </c>
    </row>
    <row r="31" customFormat="false" ht="15" hidden="false" customHeight="false" outlineLevel="0" collapsed="false">
      <c r="B31" s="12" t="s">
        <v>88</v>
      </c>
      <c r="C31" s="13" t="n">
        <f aca="false">IF(C6=0,0,C30/C6)</f>
        <v>0.230205882352941</v>
      </c>
      <c r="D31" s="13" t="n">
        <f aca="false">IF(D6=0,0,D30/D6)</f>
        <v>0.190889273356401</v>
      </c>
      <c r="E31" s="13" t="n">
        <f aca="false">IF(E6=0,0,E30/E6)</f>
        <v>0.190889273356401</v>
      </c>
      <c r="F31" s="13" t="n">
        <f aca="false">IF(F6=0,0,F30/F6)</f>
        <v>0.205450980392157</v>
      </c>
      <c r="G31" s="13" t="n">
        <f aca="false">IF(G6=0,0,G30/G6)</f>
        <v>0.205450980392157</v>
      </c>
      <c r="H31" s="13" t="n">
        <f aca="false">IF(H6=0,0,H30/H6)</f>
        <v>0.218479876160991</v>
      </c>
      <c r="I31" s="13" t="n">
        <f aca="false">IF(I6=0,0,I30/I6)</f>
        <v>0.230205882352941</v>
      </c>
      <c r="J31" s="13" t="n">
        <f aca="false">IF(J6=0,0,J30/J6)</f>
        <v>0.218479876160991</v>
      </c>
      <c r="K31" s="13" t="n">
        <f aca="false">IF(K6=0,0,K30/K6)</f>
        <v>0.205450980392157</v>
      </c>
      <c r="L31" s="13" t="n">
        <f aca="false">IF(L6=0,0,L30/L6)</f>
        <v>0.230205882352941</v>
      </c>
      <c r="M31" s="13" t="n">
        <f aca="false">IF(M6=0,0,M30/M6)</f>
        <v>0.24081512605042</v>
      </c>
      <c r="N31" s="13" t="n">
        <f aca="false">IF(N6=0,0,N30/N6)</f>
        <v>0.281619909502262</v>
      </c>
      <c r="O31" s="13" t="n">
        <f aca="false">IF(O6=0,0,O30/O6)</f>
        <v>0.287967320261438</v>
      </c>
      <c r="P31" s="13" t="n">
        <f aca="false">IF(P6=0,0,P30/P6)</f>
        <v>0.257113541666667</v>
      </c>
      <c r="Q31" s="13" t="n">
        <f aca="false">IF(Q6=0,0,Q30/Q6)</f>
        <v>0.222545343137255</v>
      </c>
      <c r="R31" s="13" t="n">
        <f aca="false">IF(R6=0,0,R30/R6)</f>
        <v>0.222545343137255</v>
      </c>
      <c r="S31" s="13" t="n">
        <f aca="false">IF(S6=0,0,S30/S6)</f>
        <v>0.23534837962963</v>
      </c>
      <c r="T31" s="13" t="n">
        <f aca="false">IF(T6=0,0,T30/T6)</f>
        <v>0.23534837962963</v>
      </c>
      <c r="U31" s="13" t="n">
        <f aca="false">IF(U6=0,0,U30/U6)</f>
        <v>0.246803728070175</v>
      </c>
      <c r="V31" s="13" t="n">
        <f aca="false">IF(V6=0,0,V30/V6)</f>
        <v>0.257113541666667</v>
      </c>
      <c r="W31" s="13" t="n">
        <f aca="false">IF(W6=0,0,W30/W6)</f>
        <v>0.246803728070175</v>
      </c>
      <c r="X31" s="13" t="n">
        <f aca="false">IF(X6=0,0,X30/X6)</f>
        <v>0.23534837962963</v>
      </c>
      <c r="Y31" s="13" t="n">
        <f aca="false">IF(Y6=0,0,Y30/Y6)</f>
        <v>0.257113541666667</v>
      </c>
      <c r="Z31" s="13" t="n">
        <f aca="false">IF(Z6=0,0,Z30/Z6)</f>
        <v>0.266441468253968</v>
      </c>
      <c r="AA31" s="13" t="n">
        <f aca="false">IF(AA6=0,0,AA30/AA6)</f>
        <v>0.302318108974359</v>
      </c>
      <c r="AB31" s="13" t="n">
        <f aca="false">IF(AB6=0,0,AB30/AB6)</f>
        <v>0.307898919753087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28" min="3" style="0" width="11"/>
  </cols>
  <sheetData>
    <row r="1" customFormat="false" ht="17.35" hidden="false" customHeight="false" outlineLevel="0" collapsed="false">
      <c r="B1" s="1" t="s">
        <v>90</v>
      </c>
    </row>
    <row r="2" customFormat="false" ht="15" hidden="false" customHeight="false" outlineLevel="0" collapsed="false">
      <c r="B2" s="2" t="s">
        <v>91</v>
      </c>
      <c r="C2" s="3" t="s">
        <v>73</v>
      </c>
      <c r="P2" s="3" t="s">
        <v>74</v>
      </c>
    </row>
    <row r="3" customFormat="false" ht="15" hidden="false" customHeight="false" outlineLevel="0" collapsed="false">
      <c r="C3" s="3" t="s">
        <v>75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75</v>
      </c>
      <c r="Q3" s="3" t="s">
        <v>29</v>
      </c>
      <c r="R3" s="3" t="s">
        <v>30</v>
      </c>
      <c r="S3" s="3" t="s">
        <v>31</v>
      </c>
      <c r="T3" s="3" t="s">
        <v>32</v>
      </c>
      <c r="U3" s="3" t="s">
        <v>33</v>
      </c>
      <c r="V3" s="3" t="s">
        <v>34</v>
      </c>
      <c r="W3" s="3" t="s">
        <v>35</v>
      </c>
      <c r="X3" s="3" t="s">
        <v>36</v>
      </c>
      <c r="Y3" s="3" t="s">
        <v>37</v>
      </c>
      <c r="Z3" s="3" t="s">
        <v>38</v>
      </c>
      <c r="AA3" s="3" t="s">
        <v>39</v>
      </c>
      <c r="AB3" s="3" t="s">
        <v>40</v>
      </c>
    </row>
    <row r="6" customFormat="false" ht="15" hidden="false" customHeight="false" outlineLevel="0" collapsed="false">
      <c r="B6" s="3" t="s">
        <v>76</v>
      </c>
      <c r="C6" s="5" t="n">
        <f aca="false">'USA PL'!C6+'Nigeria PL'!C6</f>
        <v>12950000</v>
      </c>
      <c r="D6" s="5" t="n">
        <f aca="false">'USA PL'!D6+'Nigeria PL'!D6</f>
        <v>917291.666666667</v>
      </c>
      <c r="E6" s="5" t="n">
        <f aca="false">'USA PL'!E6+'Nigeria PL'!E6</f>
        <v>917291.666666667</v>
      </c>
      <c r="F6" s="5" t="n">
        <f aca="false">'USA PL'!F6+'Nigeria PL'!F6</f>
        <v>971250</v>
      </c>
      <c r="G6" s="5" t="n">
        <f aca="false">'USA PL'!G6+'Nigeria PL'!G6</f>
        <v>971250</v>
      </c>
      <c r="H6" s="5" t="n">
        <f aca="false">'USA PL'!H6+'Nigeria PL'!H6</f>
        <v>1025208.33333333</v>
      </c>
      <c r="I6" s="5" t="n">
        <f aca="false">'USA PL'!I6+'Nigeria PL'!I6</f>
        <v>1079166.66666667</v>
      </c>
      <c r="J6" s="5" t="n">
        <f aca="false">'USA PL'!J6+'Nigeria PL'!J6</f>
        <v>1025208.33333333</v>
      </c>
      <c r="K6" s="5" t="n">
        <f aca="false">'USA PL'!K6+'Nigeria PL'!K6</f>
        <v>971250</v>
      </c>
      <c r="L6" s="5" t="n">
        <f aca="false">'USA PL'!L6+'Nigeria PL'!L6</f>
        <v>1079166.66666667</v>
      </c>
      <c r="M6" s="5" t="n">
        <f aca="false">'USA PL'!M6+'Nigeria PL'!M6</f>
        <v>1133125</v>
      </c>
      <c r="N6" s="5" t="n">
        <f aca="false">'USA PL'!N6+'Nigeria PL'!N6</f>
        <v>1402916.66666667</v>
      </c>
      <c r="O6" s="5" t="n">
        <f aca="false">'USA PL'!O6+'Nigeria PL'!O6</f>
        <v>1456875</v>
      </c>
      <c r="P6" s="5" t="n">
        <f aca="false">'USA PL'!P6+'Nigeria PL'!P6</f>
        <v>15000000</v>
      </c>
      <c r="Q6" s="5" t="n">
        <f aca="false">'USA PL'!Q6+'Nigeria PL'!Q6</f>
        <v>1062500</v>
      </c>
      <c r="R6" s="5" t="n">
        <f aca="false">'USA PL'!R6+'Nigeria PL'!R6</f>
        <v>1062500</v>
      </c>
      <c r="S6" s="5" t="n">
        <f aca="false">'USA PL'!S6+'Nigeria PL'!S6</f>
        <v>1125000</v>
      </c>
      <c r="T6" s="5" t="n">
        <f aca="false">'USA PL'!T6+'Nigeria PL'!T6</f>
        <v>1125000</v>
      </c>
      <c r="U6" s="5" t="n">
        <f aca="false">'USA PL'!U6+'Nigeria PL'!U6</f>
        <v>1187500</v>
      </c>
      <c r="V6" s="5" t="n">
        <f aca="false">'USA PL'!V6+'Nigeria PL'!V6</f>
        <v>1250000</v>
      </c>
      <c r="W6" s="5" t="n">
        <f aca="false">'USA PL'!W6+'Nigeria PL'!W6</f>
        <v>1187500</v>
      </c>
      <c r="X6" s="5" t="n">
        <f aca="false">'USA PL'!X6+'Nigeria PL'!X6</f>
        <v>1125000</v>
      </c>
      <c r="Y6" s="5" t="n">
        <f aca="false">'USA PL'!Y6+'Nigeria PL'!Y6</f>
        <v>1250000</v>
      </c>
      <c r="Z6" s="5" t="n">
        <f aca="false">'USA PL'!Z6+'Nigeria PL'!Z6</f>
        <v>1312500</v>
      </c>
      <c r="AA6" s="5" t="n">
        <f aca="false">'USA PL'!AA6+'Nigeria PL'!AA6</f>
        <v>1625000</v>
      </c>
      <c r="AB6" s="5" t="n">
        <f aca="false">'USA PL'!AB6+'Nigeria PL'!AB6</f>
        <v>1687500</v>
      </c>
    </row>
    <row r="9" customFormat="false" ht="15" hidden="false" customHeight="false" outlineLevel="0" collapsed="false">
      <c r="B9" s="0" t="s">
        <v>77</v>
      </c>
      <c r="C9" s="7" t="n">
        <f aca="false">'USA PL'!C9+'Nigeria PL'!C9</f>
        <v>6824650</v>
      </c>
      <c r="D9" s="7" t="n">
        <f aca="false">'USA PL'!D9+'Nigeria PL'!D9</f>
        <v>483412.708333333</v>
      </c>
      <c r="E9" s="7" t="n">
        <f aca="false">'USA PL'!E9+'Nigeria PL'!E9</f>
        <v>483412.708333333</v>
      </c>
      <c r="F9" s="7" t="n">
        <f aca="false">'USA PL'!F9+'Nigeria PL'!F9</f>
        <v>511848.75</v>
      </c>
      <c r="G9" s="7" t="n">
        <f aca="false">'USA PL'!G9+'Nigeria PL'!G9</f>
        <v>511848.75</v>
      </c>
      <c r="H9" s="7" t="n">
        <f aca="false">'USA PL'!H9+'Nigeria PL'!H9</f>
        <v>540284.791666667</v>
      </c>
      <c r="I9" s="7" t="n">
        <f aca="false">'USA PL'!I9+'Nigeria PL'!I9</f>
        <v>568720.833333333</v>
      </c>
      <c r="J9" s="7" t="n">
        <f aca="false">'USA PL'!J9+'Nigeria PL'!J9</f>
        <v>540284.791666667</v>
      </c>
      <c r="K9" s="7" t="n">
        <f aca="false">'USA PL'!K9+'Nigeria PL'!K9</f>
        <v>511848.75</v>
      </c>
      <c r="L9" s="7" t="n">
        <f aca="false">'USA PL'!L9+'Nigeria PL'!L9</f>
        <v>568720.833333333</v>
      </c>
      <c r="M9" s="7" t="n">
        <f aca="false">'USA PL'!M9+'Nigeria PL'!M9</f>
        <v>597156.875</v>
      </c>
      <c r="N9" s="7" t="n">
        <f aca="false">'USA PL'!N9+'Nigeria PL'!N9</f>
        <v>739337.083333333</v>
      </c>
      <c r="O9" s="7" t="n">
        <f aca="false">'USA PL'!O9+'Nigeria PL'!O9</f>
        <v>767773.125</v>
      </c>
      <c r="P9" s="7" t="n">
        <f aca="false">'USA PL'!P9+'Nigeria PL'!P9</f>
        <v>7905000</v>
      </c>
      <c r="Q9" s="7" t="n">
        <f aca="false">'USA PL'!Q9+'Nigeria PL'!Q9</f>
        <v>559937.5</v>
      </c>
      <c r="R9" s="7" t="n">
        <f aca="false">'USA PL'!R9+'Nigeria PL'!R9</f>
        <v>559937.5</v>
      </c>
      <c r="S9" s="7" t="n">
        <f aca="false">'USA PL'!S9+'Nigeria PL'!S9</f>
        <v>592875</v>
      </c>
      <c r="T9" s="7" t="n">
        <f aca="false">'USA PL'!T9+'Nigeria PL'!T9</f>
        <v>592875</v>
      </c>
      <c r="U9" s="7" t="n">
        <f aca="false">'USA PL'!U9+'Nigeria PL'!U9</f>
        <v>625812.5</v>
      </c>
      <c r="V9" s="7" t="n">
        <f aca="false">'USA PL'!V9+'Nigeria PL'!V9</f>
        <v>658750</v>
      </c>
      <c r="W9" s="7" t="n">
        <f aca="false">'USA PL'!W9+'Nigeria PL'!W9</f>
        <v>625812.5</v>
      </c>
      <c r="X9" s="7" t="n">
        <f aca="false">'USA PL'!X9+'Nigeria PL'!X9</f>
        <v>592875</v>
      </c>
      <c r="Y9" s="7" t="n">
        <f aca="false">'USA PL'!Y9+'Nigeria PL'!Y9</f>
        <v>658750</v>
      </c>
      <c r="Z9" s="7" t="n">
        <f aca="false">'USA PL'!Z9+'Nigeria PL'!Z9</f>
        <v>691687.5</v>
      </c>
      <c r="AA9" s="7" t="n">
        <f aca="false">'USA PL'!AA9+'Nigeria PL'!AA9</f>
        <v>856375</v>
      </c>
      <c r="AB9" s="7" t="n">
        <f aca="false">'USA PL'!AB9+'Nigeria PL'!AB9</f>
        <v>889312.5</v>
      </c>
    </row>
    <row r="11" customFormat="false" ht="15" hidden="false" customHeight="false" outlineLevel="0" collapsed="false">
      <c r="B11" s="3" t="s">
        <v>78</v>
      </c>
      <c r="C11" s="5" t="n">
        <f aca="false">'USA PL'!C11+'Nigeria PL'!C11</f>
        <v>6125350</v>
      </c>
      <c r="D11" s="5" t="n">
        <f aca="false">'USA PL'!D11+'Nigeria PL'!D11</f>
        <v>433878.958333333</v>
      </c>
      <c r="E11" s="5" t="n">
        <f aca="false">'USA PL'!E11+'Nigeria PL'!E11</f>
        <v>433878.958333333</v>
      </c>
      <c r="F11" s="5" t="n">
        <f aca="false">'USA PL'!F11+'Nigeria PL'!F11</f>
        <v>459401.25</v>
      </c>
      <c r="G11" s="5" t="n">
        <f aca="false">'USA PL'!G11+'Nigeria PL'!G11</f>
        <v>459401.25</v>
      </c>
      <c r="H11" s="5" t="n">
        <f aca="false">'USA PL'!H11+'Nigeria PL'!H11</f>
        <v>484923.541666667</v>
      </c>
      <c r="I11" s="5" t="n">
        <f aca="false">'USA PL'!I11+'Nigeria PL'!I11</f>
        <v>510445.833333333</v>
      </c>
      <c r="J11" s="5" t="n">
        <f aca="false">'USA PL'!J11+'Nigeria PL'!J11</f>
        <v>484923.541666667</v>
      </c>
      <c r="K11" s="5" t="n">
        <f aca="false">'USA PL'!K11+'Nigeria PL'!K11</f>
        <v>459401.25</v>
      </c>
      <c r="L11" s="5" t="n">
        <f aca="false">'USA PL'!L11+'Nigeria PL'!L11</f>
        <v>510445.833333333</v>
      </c>
      <c r="M11" s="5" t="n">
        <f aca="false">'USA PL'!M11+'Nigeria PL'!M11</f>
        <v>535968.125</v>
      </c>
      <c r="N11" s="5" t="n">
        <f aca="false">'USA PL'!N11+'Nigeria PL'!N11</f>
        <v>663579.583333333</v>
      </c>
      <c r="O11" s="5" t="n">
        <f aca="false">'USA PL'!O11+'Nigeria PL'!O11</f>
        <v>689101.875</v>
      </c>
      <c r="P11" s="5" t="n">
        <f aca="false">'USA PL'!P11+'Nigeria PL'!P11</f>
        <v>7095000</v>
      </c>
      <c r="Q11" s="5" t="n">
        <f aca="false">'USA PL'!Q11+'Nigeria PL'!Q11</f>
        <v>502562.5</v>
      </c>
      <c r="R11" s="5" t="n">
        <f aca="false">'USA PL'!R11+'Nigeria PL'!R11</f>
        <v>502562.5</v>
      </c>
      <c r="S11" s="5" t="n">
        <f aca="false">'USA PL'!S11+'Nigeria PL'!S11</f>
        <v>532125</v>
      </c>
      <c r="T11" s="5" t="n">
        <f aca="false">'USA PL'!T11+'Nigeria PL'!T11</f>
        <v>532125</v>
      </c>
      <c r="U11" s="5" t="n">
        <f aca="false">'USA PL'!U11+'Nigeria PL'!U11</f>
        <v>561687.5</v>
      </c>
      <c r="V11" s="5" t="n">
        <f aca="false">'USA PL'!V11+'Nigeria PL'!V11</f>
        <v>591250</v>
      </c>
      <c r="W11" s="5" t="n">
        <f aca="false">'USA PL'!W11+'Nigeria PL'!W11</f>
        <v>561687.5</v>
      </c>
      <c r="X11" s="5" t="n">
        <f aca="false">'USA PL'!X11+'Nigeria PL'!X11</f>
        <v>532125</v>
      </c>
      <c r="Y11" s="5" t="n">
        <f aca="false">'USA PL'!Y11+'Nigeria PL'!Y11</f>
        <v>591250</v>
      </c>
      <c r="Z11" s="5" t="n">
        <f aca="false">'USA PL'!Z11+'Nigeria PL'!Z11</f>
        <v>620812.5</v>
      </c>
      <c r="AA11" s="5" t="n">
        <f aca="false">'USA PL'!AA11+'Nigeria PL'!AA11</f>
        <v>768625</v>
      </c>
      <c r="AB11" s="5" t="n">
        <f aca="false">'USA PL'!AB11+'Nigeria PL'!AB11</f>
        <v>798187.5</v>
      </c>
    </row>
    <row r="12" customFormat="false" ht="15" hidden="false" customHeight="false" outlineLevel="0" collapsed="false">
      <c r="B12" s="12" t="s">
        <v>79</v>
      </c>
      <c r="C12" s="13" t="n">
        <f aca="false">IF(C6=0,0,C11/C6)</f>
        <v>0.473</v>
      </c>
      <c r="D12" s="13" t="n">
        <f aca="false">IF(D6=0,0,D11/D6)</f>
        <v>0.473</v>
      </c>
      <c r="E12" s="13" t="n">
        <f aca="false">IF(E6=0,0,E11/E6)</f>
        <v>0.473</v>
      </c>
      <c r="F12" s="13" t="n">
        <f aca="false">IF(F6=0,0,F11/F6)</f>
        <v>0.473</v>
      </c>
      <c r="G12" s="13" t="n">
        <f aca="false">IF(G6=0,0,G11/G6)</f>
        <v>0.473</v>
      </c>
      <c r="H12" s="13" t="n">
        <f aca="false">IF(H6=0,0,H11/H6)</f>
        <v>0.473</v>
      </c>
      <c r="I12" s="13" t="n">
        <f aca="false">IF(I6=0,0,I11/I6)</f>
        <v>0.473</v>
      </c>
      <c r="J12" s="13" t="n">
        <f aca="false">IF(J6=0,0,J11/J6)</f>
        <v>0.473</v>
      </c>
      <c r="K12" s="13" t="n">
        <f aca="false">IF(K6=0,0,K11/K6)</f>
        <v>0.473</v>
      </c>
      <c r="L12" s="13" t="n">
        <f aca="false">IF(L6=0,0,L11/L6)</f>
        <v>0.473</v>
      </c>
      <c r="M12" s="13" t="n">
        <f aca="false">IF(M6=0,0,M11/M6)</f>
        <v>0.473</v>
      </c>
      <c r="N12" s="13" t="n">
        <f aca="false">IF(N6=0,0,N11/N6)</f>
        <v>0.473</v>
      </c>
      <c r="O12" s="13" t="n">
        <f aca="false">IF(O6=0,0,O11/O6)</f>
        <v>0.473</v>
      </c>
      <c r="P12" s="13" t="n">
        <f aca="false">IF(P6=0,0,P11/P6)</f>
        <v>0.473</v>
      </c>
      <c r="Q12" s="13" t="n">
        <f aca="false">IF(Q6=0,0,Q11/Q6)</f>
        <v>0.473</v>
      </c>
      <c r="R12" s="13" t="n">
        <f aca="false">IF(R6=0,0,R11/R6)</f>
        <v>0.473</v>
      </c>
      <c r="S12" s="13" t="n">
        <f aca="false">IF(S6=0,0,S11/S6)</f>
        <v>0.473</v>
      </c>
      <c r="T12" s="13" t="n">
        <f aca="false">IF(T6=0,0,T11/T6)</f>
        <v>0.473</v>
      </c>
      <c r="U12" s="13" t="n">
        <f aca="false">IF(U6=0,0,U11/U6)</f>
        <v>0.473</v>
      </c>
      <c r="V12" s="13" t="n">
        <f aca="false">IF(V6=0,0,V11/V6)</f>
        <v>0.473</v>
      </c>
      <c r="W12" s="13" t="n">
        <f aca="false">IF(W6=0,0,W11/W6)</f>
        <v>0.473</v>
      </c>
      <c r="X12" s="13" t="n">
        <f aca="false">IF(X6=0,0,X11/X6)</f>
        <v>0.473</v>
      </c>
      <c r="Y12" s="13" t="n">
        <f aca="false">IF(Y6=0,0,Y11/Y6)</f>
        <v>0.473</v>
      </c>
      <c r="Z12" s="13" t="n">
        <f aca="false">IF(Z6=0,0,Z11/Z6)</f>
        <v>0.473</v>
      </c>
      <c r="AA12" s="13" t="n">
        <f aca="false">IF(AA6=0,0,AA11/AA6)</f>
        <v>0.473</v>
      </c>
      <c r="AB12" s="13" t="n">
        <f aca="false">IF(AB6=0,0,AB11/AB6)</f>
        <v>0.473</v>
      </c>
    </row>
    <row r="14" customFormat="false" ht="15" hidden="false" customHeight="false" outlineLevel="0" collapsed="false">
      <c r="B14" s="3" t="s">
        <v>80</v>
      </c>
    </row>
    <row r="15" customFormat="false" ht="15" hidden="false" customHeight="false" outlineLevel="0" collapsed="false">
      <c r="B15" s="0" t="s">
        <v>81</v>
      </c>
      <c r="C15" s="7" t="n">
        <f aca="false">'USA PL'!C15+'Nigeria PL'!C15</f>
        <v>2652500</v>
      </c>
      <c r="D15" s="7" t="n">
        <f aca="false">'USA PL'!D15+'Nigeria PL'!D15</f>
        <v>221041.666666667</v>
      </c>
      <c r="E15" s="7" t="n">
        <f aca="false">'USA PL'!E15+'Nigeria PL'!E15</f>
        <v>221041.666666667</v>
      </c>
      <c r="F15" s="7" t="n">
        <f aca="false">'USA PL'!F15+'Nigeria PL'!F15</f>
        <v>221041.666666667</v>
      </c>
      <c r="G15" s="7" t="n">
        <f aca="false">'USA PL'!G15+'Nigeria PL'!G15</f>
        <v>221041.666666667</v>
      </c>
      <c r="H15" s="7" t="n">
        <f aca="false">'USA PL'!H15+'Nigeria PL'!H15</f>
        <v>221041.666666667</v>
      </c>
      <c r="I15" s="7" t="n">
        <f aca="false">'USA PL'!I15+'Nigeria PL'!I15</f>
        <v>221041.666666667</v>
      </c>
      <c r="J15" s="7" t="n">
        <f aca="false">'USA PL'!J15+'Nigeria PL'!J15</f>
        <v>221041.666666667</v>
      </c>
      <c r="K15" s="7" t="n">
        <f aca="false">'USA PL'!K15+'Nigeria PL'!K15</f>
        <v>221041.666666667</v>
      </c>
      <c r="L15" s="7" t="n">
        <f aca="false">'USA PL'!L15+'Nigeria PL'!L15</f>
        <v>221041.666666667</v>
      </c>
      <c r="M15" s="7" t="n">
        <f aca="false">'USA PL'!M15+'Nigeria PL'!M15</f>
        <v>221041.666666667</v>
      </c>
      <c r="N15" s="7" t="n">
        <f aca="false">'USA PL'!N15+'Nigeria PL'!N15</f>
        <v>221041.666666667</v>
      </c>
      <c r="O15" s="7" t="n">
        <f aca="false">'USA PL'!O15+'Nigeria PL'!O15</f>
        <v>221041.666666667</v>
      </c>
      <c r="P15" s="7" t="n">
        <f aca="false">'USA PL'!P15+'Nigeria PL'!P15</f>
        <v>2745337.5</v>
      </c>
      <c r="Q15" s="7" t="n">
        <f aca="false">'USA PL'!Q15+'Nigeria PL'!Q15</f>
        <v>228778.125</v>
      </c>
      <c r="R15" s="7" t="n">
        <f aca="false">'USA PL'!R15+'Nigeria PL'!R15</f>
        <v>228778.125</v>
      </c>
      <c r="S15" s="7" t="n">
        <f aca="false">'USA PL'!S15+'Nigeria PL'!S15</f>
        <v>228778.125</v>
      </c>
      <c r="T15" s="7" t="n">
        <f aca="false">'USA PL'!T15+'Nigeria PL'!T15</f>
        <v>228778.125</v>
      </c>
      <c r="U15" s="7" t="n">
        <f aca="false">'USA PL'!U15+'Nigeria PL'!U15</f>
        <v>228778.125</v>
      </c>
      <c r="V15" s="7" t="n">
        <f aca="false">'USA PL'!V15+'Nigeria PL'!V15</f>
        <v>228778.125</v>
      </c>
      <c r="W15" s="7" t="n">
        <f aca="false">'USA PL'!W15+'Nigeria PL'!W15</f>
        <v>228778.125</v>
      </c>
      <c r="X15" s="7" t="n">
        <f aca="false">'USA PL'!X15+'Nigeria PL'!X15</f>
        <v>228778.125</v>
      </c>
      <c r="Y15" s="7" t="n">
        <f aca="false">'USA PL'!Y15+'Nigeria PL'!Y15</f>
        <v>228778.125</v>
      </c>
      <c r="Z15" s="7" t="n">
        <f aca="false">'USA PL'!Z15+'Nigeria PL'!Z15</f>
        <v>228778.125</v>
      </c>
      <c r="AA15" s="7" t="n">
        <f aca="false">'USA PL'!AA15+'Nigeria PL'!AA15</f>
        <v>228778.125</v>
      </c>
      <c r="AB15" s="7" t="n">
        <f aca="false">'USA PL'!AB15+'Nigeria PL'!AB15</f>
        <v>228778.125</v>
      </c>
    </row>
    <row r="16" customFormat="false" ht="15" hidden="false" customHeight="false" outlineLevel="0" collapsed="false">
      <c r="B16" s="0" t="s">
        <v>82</v>
      </c>
      <c r="C16" s="7" t="n">
        <f aca="false">'USA PL'!C16+'Nigeria PL'!C16</f>
        <v>259000</v>
      </c>
      <c r="D16" s="7" t="n">
        <f aca="false">'USA PL'!D16+'Nigeria PL'!D16</f>
        <v>18345.8333333333</v>
      </c>
      <c r="E16" s="7" t="n">
        <f aca="false">'USA PL'!E16+'Nigeria PL'!E16</f>
        <v>18345.8333333333</v>
      </c>
      <c r="F16" s="7" t="n">
        <f aca="false">'USA PL'!F16+'Nigeria PL'!F16</f>
        <v>19425</v>
      </c>
      <c r="G16" s="7" t="n">
        <f aca="false">'USA PL'!G16+'Nigeria PL'!G16</f>
        <v>19425</v>
      </c>
      <c r="H16" s="7" t="n">
        <f aca="false">'USA PL'!H16+'Nigeria PL'!H16</f>
        <v>20504.1666666667</v>
      </c>
      <c r="I16" s="7" t="n">
        <f aca="false">'USA PL'!I16+'Nigeria PL'!I16</f>
        <v>21583.3333333333</v>
      </c>
      <c r="J16" s="7" t="n">
        <f aca="false">'USA PL'!J16+'Nigeria PL'!J16</f>
        <v>20504.1666666667</v>
      </c>
      <c r="K16" s="7" t="n">
        <f aca="false">'USA PL'!K16+'Nigeria PL'!K16</f>
        <v>19425</v>
      </c>
      <c r="L16" s="7" t="n">
        <f aca="false">'USA PL'!L16+'Nigeria PL'!L16</f>
        <v>21583.3333333333</v>
      </c>
      <c r="M16" s="7" t="n">
        <f aca="false">'USA PL'!M16+'Nigeria PL'!M16</f>
        <v>22662.5</v>
      </c>
      <c r="N16" s="7" t="n">
        <f aca="false">'USA PL'!N16+'Nigeria PL'!N16</f>
        <v>28058.3333333333</v>
      </c>
      <c r="O16" s="7" t="n">
        <f aca="false">'USA PL'!O16+'Nigeria PL'!O16</f>
        <v>29137.5</v>
      </c>
      <c r="P16" s="7" t="n">
        <f aca="false">'USA PL'!P16+'Nigeria PL'!P16</f>
        <v>300000</v>
      </c>
      <c r="Q16" s="7" t="n">
        <f aca="false">'USA PL'!Q16+'Nigeria PL'!Q16</f>
        <v>21250</v>
      </c>
      <c r="R16" s="7" t="n">
        <f aca="false">'USA PL'!R16+'Nigeria PL'!R16</f>
        <v>21250</v>
      </c>
      <c r="S16" s="7" t="n">
        <f aca="false">'USA PL'!S16+'Nigeria PL'!S16</f>
        <v>22500</v>
      </c>
      <c r="T16" s="7" t="n">
        <f aca="false">'USA PL'!T16+'Nigeria PL'!T16</f>
        <v>22500</v>
      </c>
      <c r="U16" s="7" t="n">
        <f aca="false">'USA PL'!U16+'Nigeria PL'!U16</f>
        <v>23750</v>
      </c>
      <c r="V16" s="7" t="n">
        <f aca="false">'USA PL'!V16+'Nigeria PL'!V16</f>
        <v>25000</v>
      </c>
      <c r="W16" s="7" t="n">
        <f aca="false">'USA PL'!W16+'Nigeria PL'!W16</f>
        <v>23750</v>
      </c>
      <c r="X16" s="7" t="n">
        <f aca="false">'USA PL'!X16+'Nigeria PL'!X16</f>
        <v>22500</v>
      </c>
      <c r="Y16" s="7" t="n">
        <f aca="false">'USA PL'!Y16+'Nigeria PL'!Y16</f>
        <v>25000</v>
      </c>
      <c r="Z16" s="7" t="n">
        <f aca="false">'USA PL'!Z16+'Nigeria PL'!Z16</f>
        <v>26250</v>
      </c>
      <c r="AA16" s="7" t="n">
        <f aca="false">'USA PL'!AA16+'Nigeria PL'!AA16</f>
        <v>32500</v>
      </c>
      <c r="AB16" s="7" t="n">
        <f aca="false">'USA PL'!AB16+'Nigeria PL'!AB16</f>
        <v>33750</v>
      </c>
    </row>
    <row r="17" customFormat="false" ht="15" hidden="false" customHeight="false" outlineLevel="0" collapsed="false">
      <c r="B17" s="0" t="s">
        <v>22</v>
      </c>
      <c r="C17" s="7" t="n">
        <f aca="false">'USA PL'!C17+'Nigeria PL'!C17</f>
        <v>240000</v>
      </c>
      <c r="D17" s="7" t="n">
        <f aca="false">'USA PL'!D17+'Nigeria PL'!D17</f>
        <v>20000</v>
      </c>
      <c r="E17" s="7" t="n">
        <f aca="false">'USA PL'!E17+'Nigeria PL'!E17</f>
        <v>20000</v>
      </c>
      <c r="F17" s="7" t="n">
        <f aca="false">'USA PL'!F17+'Nigeria PL'!F17</f>
        <v>20000</v>
      </c>
      <c r="G17" s="7" t="n">
        <f aca="false">'USA PL'!G17+'Nigeria PL'!G17</f>
        <v>20000</v>
      </c>
      <c r="H17" s="7" t="n">
        <f aca="false">'USA PL'!H17+'Nigeria PL'!H17</f>
        <v>20000</v>
      </c>
      <c r="I17" s="7" t="n">
        <f aca="false">'USA PL'!I17+'Nigeria PL'!I17</f>
        <v>20000</v>
      </c>
      <c r="J17" s="7" t="n">
        <f aca="false">'USA PL'!J17+'Nigeria PL'!J17</f>
        <v>20000</v>
      </c>
      <c r="K17" s="7" t="n">
        <f aca="false">'USA PL'!K17+'Nigeria PL'!K17</f>
        <v>20000</v>
      </c>
      <c r="L17" s="7" t="n">
        <f aca="false">'USA PL'!L17+'Nigeria PL'!L17</f>
        <v>20000</v>
      </c>
      <c r="M17" s="7" t="n">
        <f aca="false">'USA PL'!M17+'Nigeria PL'!M17</f>
        <v>20000</v>
      </c>
      <c r="N17" s="7" t="n">
        <f aca="false">'USA PL'!N17+'Nigeria PL'!N17</f>
        <v>20000</v>
      </c>
      <c r="O17" s="7" t="n">
        <f aca="false">'USA PL'!O17+'Nigeria PL'!O17</f>
        <v>20000</v>
      </c>
      <c r="P17" s="7" t="n">
        <f aca="false">'USA PL'!P17+'Nigeria PL'!P17</f>
        <v>248400</v>
      </c>
      <c r="Q17" s="7" t="n">
        <f aca="false">'USA PL'!Q17+'Nigeria PL'!Q17</f>
        <v>20700</v>
      </c>
      <c r="R17" s="7" t="n">
        <f aca="false">'USA PL'!R17+'Nigeria PL'!R17</f>
        <v>20700</v>
      </c>
      <c r="S17" s="7" t="n">
        <f aca="false">'USA PL'!S17+'Nigeria PL'!S17</f>
        <v>20700</v>
      </c>
      <c r="T17" s="7" t="n">
        <f aca="false">'USA PL'!T17+'Nigeria PL'!T17</f>
        <v>20700</v>
      </c>
      <c r="U17" s="7" t="n">
        <f aca="false">'USA PL'!U17+'Nigeria PL'!U17</f>
        <v>20700</v>
      </c>
      <c r="V17" s="7" t="n">
        <f aca="false">'USA PL'!V17+'Nigeria PL'!V17</f>
        <v>20700</v>
      </c>
      <c r="W17" s="7" t="n">
        <f aca="false">'USA PL'!W17+'Nigeria PL'!W17</f>
        <v>20700</v>
      </c>
      <c r="X17" s="7" t="n">
        <f aca="false">'USA PL'!X17+'Nigeria PL'!X17</f>
        <v>20700</v>
      </c>
      <c r="Y17" s="7" t="n">
        <f aca="false">'USA PL'!Y17+'Nigeria PL'!Y17</f>
        <v>20700</v>
      </c>
      <c r="Z17" s="7" t="n">
        <f aca="false">'USA PL'!Z17+'Nigeria PL'!Z17</f>
        <v>20700</v>
      </c>
      <c r="AA17" s="7" t="n">
        <f aca="false">'USA PL'!AA17+'Nigeria PL'!AA17</f>
        <v>20700</v>
      </c>
      <c r="AB17" s="7" t="n">
        <f aca="false">'USA PL'!AB17+'Nigeria PL'!AB17</f>
        <v>20700</v>
      </c>
    </row>
    <row r="18" customFormat="false" ht="15" hidden="false" customHeight="false" outlineLevel="0" collapsed="false">
      <c r="B18" s="0" t="s">
        <v>23</v>
      </c>
      <c r="C18" s="7" t="n">
        <f aca="false">'USA PL'!C18+'Nigeria PL'!C18</f>
        <v>370000</v>
      </c>
      <c r="D18" s="7" t="n">
        <f aca="false">'USA PL'!D18+'Nigeria PL'!D18</f>
        <v>30833.3333333333</v>
      </c>
      <c r="E18" s="7" t="n">
        <f aca="false">'USA PL'!E18+'Nigeria PL'!E18</f>
        <v>30833.3333333333</v>
      </c>
      <c r="F18" s="7" t="n">
        <f aca="false">'USA PL'!F18+'Nigeria PL'!F18</f>
        <v>30833.3333333333</v>
      </c>
      <c r="G18" s="7" t="n">
        <f aca="false">'USA PL'!G18+'Nigeria PL'!G18</f>
        <v>30833.3333333333</v>
      </c>
      <c r="H18" s="7" t="n">
        <f aca="false">'USA PL'!H18+'Nigeria PL'!H18</f>
        <v>30833.3333333333</v>
      </c>
      <c r="I18" s="7" t="n">
        <f aca="false">'USA PL'!I18+'Nigeria PL'!I18</f>
        <v>30833.3333333333</v>
      </c>
      <c r="J18" s="7" t="n">
        <f aca="false">'USA PL'!J18+'Nigeria PL'!J18</f>
        <v>30833.3333333333</v>
      </c>
      <c r="K18" s="7" t="n">
        <f aca="false">'USA PL'!K18+'Nigeria PL'!K18</f>
        <v>30833.3333333333</v>
      </c>
      <c r="L18" s="7" t="n">
        <f aca="false">'USA PL'!L18+'Nigeria PL'!L18</f>
        <v>30833.3333333333</v>
      </c>
      <c r="M18" s="7" t="n">
        <f aca="false">'USA PL'!M18+'Nigeria PL'!M18</f>
        <v>30833.3333333333</v>
      </c>
      <c r="N18" s="7" t="n">
        <f aca="false">'USA PL'!N18+'Nigeria PL'!N18</f>
        <v>30833.3333333333</v>
      </c>
      <c r="O18" s="7" t="n">
        <f aca="false">'USA PL'!O18+'Nigeria PL'!O18</f>
        <v>30833.3333333333</v>
      </c>
      <c r="P18" s="7" t="n">
        <f aca="false">'USA PL'!P18+'Nigeria PL'!P18</f>
        <v>382950</v>
      </c>
      <c r="Q18" s="7" t="n">
        <f aca="false">'USA PL'!Q18+'Nigeria PL'!Q18</f>
        <v>31912.5</v>
      </c>
      <c r="R18" s="7" t="n">
        <f aca="false">'USA PL'!R18+'Nigeria PL'!R18</f>
        <v>31912.5</v>
      </c>
      <c r="S18" s="7" t="n">
        <f aca="false">'USA PL'!S18+'Nigeria PL'!S18</f>
        <v>31912.5</v>
      </c>
      <c r="T18" s="7" t="n">
        <f aca="false">'USA PL'!T18+'Nigeria PL'!T18</f>
        <v>31912.5</v>
      </c>
      <c r="U18" s="7" t="n">
        <f aca="false">'USA PL'!U18+'Nigeria PL'!U18</f>
        <v>31912.5</v>
      </c>
      <c r="V18" s="7" t="n">
        <f aca="false">'USA PL'!V18+'Nigeria PL'!V18</f>
        <v>31912.5</v>
      </c>
      <c r="W18" s="7" t="n">
        <f aca="false">'USA PL'!W18+'Nigeria PL'!W18</f>
        <v>31912.5</v>
      </c>
      <c r="X18" s="7" t="n">
        <f aca="false">'USA PL'!X18+'Nigeria PL'!X18</f>
        <v>31912.5</v>
      </c>
      <c r="Y18" s="7" t="n">
        <f aca="false">'USA PL'!Y18+'Nigeria PL'!Y18</f>
        <v>31912.5</v>
      </c>
      <c r="Z18" s="7" t="n">
        <f aca="false">'USA PL'!Z18+'Nigeria PL'!Z18</f>
        <v>31912.5</v>
      </c>
      <c r="AA18" s="7" t="n">
        <f aca="false">'USA PL'!AA18+'Nigeria PL'!AA18</f>
        <v>31912.5</v>
      </c>
      <c r="AB18" s="7" t="n">
        <f aca="false">'USA PL'!AB18+'Nigeria PL'!AB18</f>
        <v>31912.5</v>
      </c>
    </row>
    <row r="19" customFormat="false" ht="15" hidden="false" customHeight="false" outlineLevel="0" collapsed="false">
      <c r="B19" s="0" t="s">
        <v>24</v>
      </c>
      <c r="C19" s="7" t="n">
        <f aca="false">'USA PL'!C19+'Nigeria PL'!C19</f>
        <v>200000</v>
      </c>
      <c r="D19" s="7" t="n">
        <f aca="false">'USA PL'!D19+'Nigeria PL'!D19</f>
        <v>16666.6666666667</v>
      </c>
      <c r="E19" s="7" t="n">
        <f aca="false">'USA PL'!E19+'Nigeria PL'!E19</f>
        <v>16666.6666666667</v>
      </c>
      <c r="F19" s="7" t="n">
        <f aca="false">'USA PL'!F19+'Nigeria PL'!F19</f>
        <v>16666.6666666667</v>
      </c>
      <c r="G19" s="7" t="n">
        <f aca="false">'USA PL'!G19+'Nigeria PL'!G19</f>
        <v>16666.6666666667</v>
      </c>
      <c r="H19" s="7" t="n">
        <f aca="false">'USA PL'!H19+'Nigeria PL'!H19</f>
        <v>16666.6666666667</v>
      </c>
      <c r="I19" s="7" t="n">
        <f aca="false">'USA PL'!I19+'Nigeria PL'!I19</f>
        <v>16666.6666666667</v>
      </c>
      <c r="J19" s="7" t="n">
        <f aca="false">'USA PL'!J19+'Nigeria PL'!J19</f>
        <v>16666.6666666667</v>
      </c>
      <c r="K19" s="7" t="n">
        <f aca="false">'USA PL'!K19+'Nigeria PL'!K19</f>
        <v>16666.6666666667</v>
      </c>
      <c r="L19" s="7" t="n">
        <f aca="false">'USA PL'!L19+'Nigeria PL'!L19</f>
        <v>16666.6666666667</v>
      </c>
      <c r="M19" s="7" t="n">
        <f aca="false">'USA PL'!M19+'Nigeria PL'!M19</f>
        <v>16666.6666666667</v>
      </c>
      <c r="N19" s="7" t="n">
        <f aca="false">'USA PL'!N19+'Nigeria PL'!N19</f>
        <v>16666.6666666667</v>
      </c>
      <c r="O19" s="7" t="n">
        <f aca="false">'USA PL'!O19+'Nigeria PL'!O19</f>
        <v>16666.6666666667</v>
      </c>
      <c r="P19" s="7" t="n">
        <f aca="false">'USA PL'!P19+'Nigeria PL'!P19</f>
        <v>207000</v>
      </c>
      <c r="Q19" s="7" t="n">
        <f aca="false">'USA PL'!Q19+'Nigeria PL'!Q19</f>
        <v>17250</v>
      </c>
      <c r="R19" s="7" t="n">
        <f aca="false">'USA PL'!R19+'Nigeria PL'!R19</f>
        <v>17250</v>
      </c>
      <c r="S19" s="7" t="n">
        <f aca="false">'USA PL'!S19+'Nigeria PL'!S19</f>
        <v>17250</v>
      </c>
      <c r="T19" s="7" t="n">
        <f aca="false">'USA PL'!T19+'Nigeria PL'!T19</f>
        <v>17250</v>
      </c>
      <c r="U19" s="7" t="n">
        <f aca="false">'USA PL'!U19+'Nigeria PL'!U19</f>
        <v>17250</v>
      </c>
      <c r="V19" s="7" t="n">
        <f aca="false">'USA PL'!V19+'Nigeria PL'!V19</f>
        <v>17250</v>
      </c>
      <c r="W19" s="7" t="n">
        <f aca="false">'USA PL'!W19+'Nigeria PL'!W19</f>
        <v>17250</v>
      </c>
      <c r="X19" s="7" t="n">
        <f aca="false">'USA PL'!X19+'Nigeria PL'!X19</f>
        <v>17250</v>
      </c>
      <c r="Y19" s="7" t="n">
        <f aca="false">'USA PL'!Y19+'Nigeria PL'!Y19</f>
        <v>17250</v>
      </c>
      <c r="Z19" s="7" t="n">
        <f aca="false">'USA PL'!Z19+'Nigeria PL'!Z19</f>
        <v>17250</v>
      </c>
      <c r="AA19" s="7" t="n">
        <f aca="false">'USA PL'!AA19+'Nigeria PL'!AA19</f>
        <v>17250</v>
      </c>
      <c r="AB19" s="7" t="n">
        <f aca="false">'USA PL'!AB19+'Nigeria PL'!AB19</f>
        <v>17250</v>
      </c>
    </row>
    <row r="20" customFormat="false" ht="15" hidden="false" customHeight="false" outlineLevel="0" collapsed="false">
      <c r="B20" s="0" t="s">
        <v>25</v>
      </c>
      <c r="C20" s="7" t="n">
        <f aca="false">'USA PL'!C20+'Nigeria PL'!C20</f>
        <v>130000</v>
      </c>
      <c r="D20" s="7" t="n">
        <f aca="false">'USA PL'!D20+'Nigeria PL'!D20</f>
        <v>10833.3333333333</v>
      </c>
      <c r="E20" s="7" t="n">
        <f aca="false">'USA PL'!E20+'Nigeria PL'!E20</f>
        <v>10833.3333333333</v>
      </c>
      <c r="F20" s="7" t="n">
        <f aca="false">'USA PL'!F20+'Nigeria PL'!F20</f>
        <v>10833.3333333333</v>
      </c>
      <c r="G20" s="7" t="n">
        <f aca="false">'USA PL'!G20+'Nigeria PL'!G20</f>
        <v>10833.3333333333</v>
      </c>
      <c r="H20" s="7" t="n">
        <f aca="false">'USA PL'!H20+'Nigeria PL'!H20</f>
        <v>10833.3333333333</v>
      </c>
      <c r="I20" s="7" t="n">
        <f aca="false">'USA PL'!I20+'Nigeria PL'!I20</f>
        <v>10833.3333333333</v>
      </c>
      <c r="J20" s="7" t="n">
        <f aca="false">'USA PL'!J20+'Nigeria PL'!J20</f>
        <v>10833.3333333333</v>
      </c>
      <c r="K20" s="7" t="n">
        <f aca="false">'USA PL'!K20+'Nigeria PL'!K20</f>
        <v>10833.3333333333</v>
      </c>
      <c r="L20" s="7" t="n">
        <f aca="false">'USA PL'!L20+'Nigeria PL'!L20</f>
        <v>10833.3333333333</v>
      </c>
      <c r="M20" s="7" t="n">
        <f aca="false">'USA PL'!M20+'Nigeria PL'!M20</f>
        <v>10833.3333333333</v>
      </c>
      <c r="N20" s="7" t="n">
        <f aca="false">'USA PL'!N20+'Nigeria PL'!N20</f>
        <v>10833.3333333333</v>
      </c>
      <c r="O20" s="7" t="n">
        <f aca="false">'USA PL'!O20+'Nigeria PL'!O20</f>
        <v>10833.3333333333</v>
      </c>
      <c r="P20" s="7" t="n">
        <f aca="false">'USA PL'!P20+'Nigeria PL'!P20</f>
        <v>134550</v>
      </c>
      <c r="Q20" s="7" t="n">
        <f aca="false">'USA PL'!Q20+'Nigeria PL'!Q20</f>
        <v>11212.5</v>
      </c>
      <c r="R20" s="7" t="n">
        <f aca="false">'USA PL'!R20+'Nigeria PL'!R20</f>
        <v>11212.5</v>
      </c>
      <c r="S20" s="7" t="n">
        <f aca="false">'USA PL'!S20+'Nigeria PL'!S20</f>
        <v>11212.5</v>
      </c>
      <c r="T20" s="7" t="n">
        <f aca="false">'USA PL'!T20+'Nigeria PL'!T20</f>
        <v>11212.5</v>
      </c>
      <c r="U20" s="7" t="n">
        <f aca="false">'USA PL'!U20+'Nigeria PL'!U20</f>
        <v>11212.5</v>
      </c>
      <c r="V20" s="7" t="n">
        <f aca="false">'USA PL'!V20+'Nigeria PL'!V20</f>
        <v>11212.5</v>
      </c>
      <c r="W20" s="7" t="n">
        <f aca="false">'USA PL'!W20+'Nigeria PL'!W20</f>
        <v>11212.5</v>
      </c>
      <c r="X20" s="7" t="n">
        <f aca="false">'USA PL'!X20+'Nigeria PL'!X20</f>
        <v>11212.5</v>
      </c>
      <c r="Y20" s="7" t="n">
        <f aca="false">'USA PL'!Y20+'Nigeria PL'!Y20</f>
        <v>11212.5</v>
      </c>
      <c r="Z20" s="7" t="n">
        <f aca="false">'USA PL'!Z20+'Nigeria PL'!Z20</f>
        <v>11212.5</v>
      </c>
      <c r="AA20" s="7" t="n">
        <f aca="false">'USA PL'!AA20+'Nigeria PL'!AA20</f>
        <v>11212.5</v>
      </c>
      <c r="AB20" s="7" t="n">
        <f aca="false">'USA PL'!AB20+'Nigeria PL'!AB20</f>
        <v>11212.5</v>
      </c>
    </row>
    <row r="21" customFormat="false" ht="15" hidden="false" customHeight="false" outlineLevel="0" collapsed="false">
      <c r="B21" s="0" t="s">
        <v>26</v>
      </c>
      <c r="C21" s="7" t="n">
        <f aca="false">'USA PL'!C21+'Nigeria PL'!C21</f>
        <v>340000</v>
      </c>
      <c r="D21" s="7" t="n">
        <f aca="false">'USA PL'!D21+'Nigeria PL'!D21</f>
        <v>28333.3333333333</v>
      </c>
      <c r="E21" s="7" t="n">
        <f aca="false">'USA PL'!E21+'Nigeria PL'!E21</f>
        <v>28333.3333333333</v>
      </c>
      <c r="F21" s="7" t="n">
        <f aca="false">'USA PL'!F21+'Nigeria PL'!F21</f>
        <v>28333.3333333333</v>
      </c>
      <c r="G21" s="7" t="n">
        <f aca="false">'USA PL'!G21+'Nigeria PL'!G21</f>
        <v>28333.3333333333</v>
      </c>
      <c r="H21" s="7" t="n">
        <f aca="false">'USA PL'!H21+'Nigeria PL'!H21</f>
        <v>28333.3333333333</v>
      </c>
      <c r="I21" s="7" t="n">
        <f aca="false">'USA PL'!I21+'Nigeria PL'!I21</f>
        <v>28333.3333333333</v>
      </c>
      <c r="J21" s="7" t="n">
        <f aca="false">'USA PL'!J21+'Nigeria PL'!J21</f>
        <v>28333.3333333333</v>
      </c>
      <c r="K21" s="7" t="n">
        <f aca="false">'USA PL'!K21+'Nigeria PL'!K21</f>
        <v>28333.3333333333</v>
      </c>
      <c r="L21" s="7" t="n">
        <f aca="false">'USA PL'!L21+'Nigeria PL'!L21</f>
        <v>28333.3333333333</v>
      </c>
      <c r="M21" s="7" t="n">
        <f aca="false">'USA PL'!M21+'Nigeria PL'!M21</f>
        <v>28333.3333333333</v>
      </c>
      <c r="N21" s="7" t="n">
        <f aca="false">'USA PL'!N21+'Nigeria PL'!N21</f>
        <v>28333.3333333333</v>
      </c>
      <c r="O21" s="7" t="n">
        <f aca="false">'USA PL'!O21+'Nigeria PL'!O21</f>
        <v>28333.3333333333</v>
      </c>
      <c r="P21" s="7" t="n">
        <f aca="false">'USA PL'!P21+'Nigeria PL'!P21</f>
        <v>351900</v>
      </c>
      <c r="Q21" s="7" t="n">
        <f aca="false">'USA PL'!Q21+'Nigeria PL'!Q21</f>
        <v>29325</v>
      </c>
      <c r="R21" s="7" t="n">
        <f aca="false">'USA PL'!R21+'Nigeria PL'!R21</f>
        <v>29325</v>
      </c>
      <c r="S21" s="7" t="n">
        <f aca="false">'USA PL'!S21+'Nigeria PL'!S21</f>
        <v>29325</v>
      </c>
      <c r="T21" s="7" t="n">
        <f aca="false">'USA PL'!T21+'Nigeria PL'!T21</f>
        <v>29325</v>
      </c>
      <c r="U21" s="7" t="n">
        <f aca="false">'USA PL'!U21+'Nigeria PL'!U21</f>
        <v>29325</v>
      </c>
      <c r="V21" s="7" t="n">
        <f aca="false">'USA PL'!V21+'Nigeria PL'!V21</f>
        <v>29325</v>
      </c>
      <c r="W21" s="7" t="n">
        <f aca="false">'USA PL'!W21+'Nigeria PL'!W21</f>
        <v>29325</v>
      </c>
      <c r="X21" s="7" t="n">
        <f aca="false">'USA PL'!X21+'Nigeria PL'!X21</f>
        <v>29325</v>
      </c>
      <c r="Y21" s="7" t="n">
        <f aca="false">'USA PL'!Y21+'Nigeria PL'!Y21</f>
        <v>29325</v>
      </c>
      <c r="Z21" s="7" t="n">
        <f aca="false">'USA PL'!Z21+'Nigeria PL'!Z21</f>
        <v>29325</v>
      </c>
      <c r="AA21" s="7" t="n">
        <f aca="false">'USA PL'!AA21+'Nigeria PL'!AA21</f>
        <v>29325</v>
      </c>
      <c r="AB21" s="7" t="n">
        <f aca="false">'USA PL'!AB21+'Nigeria PL'!AB21</f>
        <v>29325</v>
      </c>
    </row>
    <row r="22" customFormat="false" ht="15" hidden="false" customHeight="false" outlineLevel="0" collapsed="false">
      <c r="B22" s="0" t="s">
        <v>27</v>
      </c>
      <c r="C22" s="7" t="n">
        <f aca="false">'USA PL'!C22+'Nigeria PL'!C22</f>
        <v>220000</v>
      </c>
      <c r="D22" s="7" t="n">
        <f aca="false">'USA PL'!D22+'Nigeria PL'!D22</f>
        <v>18333.3333333333</v>
      </c>
      <c r="E22" s="7" t="n">
        <f aca="false">'USA PL'!E22+'Nigeria PL'!E22</f>
        <v>18333.3333333333</v>
      </c>
      <c r="F22" s="7" t="n">
        <f aca="false">'USA PL'!F22+'Nigeria PL'!F22</f>
        <v>18333.3333333333</v>
      </c>
      <c r="G22" s="7" t="n">
        <f aca="false">'USA PL'!G22+'Nigeria PL'!G22</f>
        <v>18333.3333333333</v>
      </c>
      <c r="H22" s="7" t="n">
        <f aca="false">'USA PL'!H22+'Nigeria PL'!H22</f>
        <v>18333.3333333333</v>
      </c>
      <c r="I22" s="7" t="n">
        <f aca="false">'USA PL'!I22+'Nigeria PL'!I22</f>
        <v>18333.3333333333</v>
      </c>
      <c r="J22" s="7" t="n">
        <f aca="false">'USA PL'!J22+'Nigeria PL'!J22</f>
        <v>18333.3333333333</v>
      </c>
      <c r="K22" s="7" t="n">
        <f aca="false">'USA PL'!K22+'Nigeria PL'!K22</f>
        <v>18333.3333333333</v>
      </c>
      <c r="L22" s="7" t="n">
        <f aca="false">'USA PL'!L22+'Nigeria PL'!L22</f>
        <v>18333.3333333333</v>
      </c>
      <c r="M22" s="7" t="n">
        <f aca="false">'USA PL'!M22+'Nigeria PL'!M22</f>
        <v>18333.3333333333</v>
      </c>
      <c r="N22" s="7" t="n">
        <f aca="false">'USA PL'!N22+'Nigeria PL'!N22</f>
        <v>18333.3333333333</v>
      </c>
      <c r="O22" s="7" t="n">
        <f aca="false">'USA PL'!O22+'Nigeria PL'!O22</f>
        <v>18333.3333333333</v>
      </c>
      <c r="P22" s="7" t="n">
        <f aca="false">'USA PL'!P22+'Nigeria PL'!P22</f>
        <v>227700</v>
      </c>
      <c r="Q22" s="7" t="n">
        <f aca="false">'USA PL'!Q22+'Nigeria PL'!Q22</f>
        <v>18975</v>
      </c>
      <c r="R22" s="7" t="n">
        <f aca="false">'USA PL'!R22+'Nigeria PL'!R22</f>
        <v>18975</v>
      </c>
      <c r="S22" s="7" t="n">
        <f aca="false">'USA PL'!S22+'Nigeria PL'!S22</f>
        <v>18975</v>
      </c>
      <c r="T22" s="7" t="n">
        <f aca="false">'USA PL'!T22+'Nigeria PL'!T22</f>
        <v>18975</v>
      </c>
      <c r="U22" s="7" t="n">
        <f aca="false">'USA PL'!U22+'Nigeria PL'!U22</f>
        <v>18975</v>
      </c>
      <c r="V22" s="7" t="n">
        <f aca="false">'USA PL'!V22+'Nigeria PL'!V22</f>
        <v>18975</v>
      </c>
      <c r="W22" s="7" t="n">
        <f aca="false">'USA PL'!W22+'Nigeria PL'!W22</f>
        <v>18975</v>
      </c>
      <c r="X22" s="7" t="n">
        <f aca="false">'USA PL'!X22+'Nigeria PL'!X22</f>
        <v>18975</v>
      </c>
      <c r="Y22" s="7" t="n">
        <f aca="false">'USA PL'!Y22+'Nigeria PL'!Y22</f>
        <v>18975</v>
      </c>
      <c r="Z22" s="7" t="n">
        <f aca="false">'USA PL'!Z22+'Nigeria PL'!Z22</f>
        <v>18975</v>
      </c>
      <c r="AA22" s="7" t="n">
        <f aca="false">'USA PL'!AA22+'Nigeria PL'!AA22</f>
        <v>18975</v>
      </c>
      <c r="AB22" s="7" t="n">
        <f aca="false">'USA PL'!AB22+'Nigeria PL'!AB22</f>
        <v>18975</v>
      </c>
    </row>
    <row r="23" customFormat="false" ht="15" hidden="false" customHeight="false" outlineLevel="0" collapsed="false">
      <c r="B23" s="3" t="s">
        <v>83</v>
      </c>
      <c r="C23" s="5" t="n">
        <f aca="false">'USA PL'!C23+'Nigeria PL'!C23</f>
        <v>4411500</v>
      </c>
      <c r="D23" s="5" t="n">
        <f aca="false">'USA PL'!D23+'Nigeria PL'!D23</f>
        <v>364387.5</v>
      </c>
      <c r="E23" s="5" t="n">
        <f aca="false">'USA PL'!E23+'Nigeria PL'!E23</f>
        <v>364387.5</v>
      </c>
      <c r="F23" s="5" t="n">
        <f aca="false">'USA PL'!F23+'Nigeria PL'!F23</f>
        <v>365466.666666667</v>
      </c>
      <c r="G23" s="5" t="n">
        <f aca="false">'USA PL'!G23+'Nigeria PL'!G23</f>
        <v>365466.666666667</v>
      </c>
      <c r="H23" s="5" t="n">
        <f aca="false">'USA PL'!H23+'Nigeria PL'!H23</f>
        <v>366545.833333333</v>
      </c>
      <c r="I23" s="5" t="n">
        <f aca="false">'USA PL'!I23+'Nigeria PL'!I23</f>
        <v>367625</v>
      </c>
      <c r="J23" s="5" t="n">
        <f aca="false">'USA PL'!J23+'Nigeria PL'!J23</f>
        <v>366545.833333333</v>
      </c>
      <c r="K23" s="5" t="n">
        <f aca="false">'USA PL'!K23+'Nigeria PL'!K23</f>
        <v>365466.666666667</v>
      </c>
      <c r="L23" s="5" t="n">
        <f aca="false">'USA PL'!L23+'Nigeria PL'!L23</f>
        <v>367625</v>
      </c>
      <c r="M23" s="5" t="n">
        <f aca="false">'USA PL'!M23+'Nigeria PL'!M23</f>
        <v>368704.166666667</v>
      </c>
      <c r="N23" s="5" t="n">
        <f aca="false">'USA PL'!N23+'Nigeria PL'!N23</f>
        <v>374100</v>
      </c>
      <c r="O23" s="5" t="n">
        <f aca="false">'USA PL'!O23+'Nigeria PL'!O23</f>
        <v>375179.166666667</v>
      </c>
      <c r="P23" s="5" t="n">
        <f aca="false">'USA PL'!P23+'Nigeria PL'!P23</f>
        <v>4597837.5</v>
      </c>
      <c r="Q23" s="5" t="n">
        <f aca="false">'USA PL'!Q23+'Nigeria PL'!Q23</f>
        <v>379403.125</v>
      </c>
      <c r="R23" s="5" t="n">
        <f aca="false">'USA PL'!R23+'Nigeria PL'!R23</f>
        <v>379403.125</v>
      </c>
      <c r="S23" s="5" t="n">
        <f aca="false">'USA PL'!S23+'Nigeria PL'!S23</f>
        <v>380653.125</v>
      </c>
      <c r="T23" s="5" t="n">
        <f aca="false">'USA PL'!T23+'Nigeria PL'!T23</f>
        <v>380653.125</v>
      </c>
      <c r="U23" s="5" t="n">
        <f aca="false">'USA PL'!U23+'Nigeria PL'!U23</f>
        <v>381903.125</v>
      </c>
      <c r="V23" s="5" t="n">
        <f aca="false">'USA PL'!V23+'Nigeria PL'!V23</f>
        <v>383153.125</v>
      </c>
      <c r="W23" s="5" t="n">
        <f aca="false">'USA PL'!W23+'Nigeria PL'!W23</f>
        <v>381903.125</v>
      </c>
      <c r="X23" s="5" t="n">
        <f aca="false">'USA PL'!X23+'Nigeria PL'!X23</f>
        <v>380653.125</v>
      </c>
      <c r="Y23" s="5" t="n">
        <f aca="false">'USA PL'!Y23+'Nigeria PL'!Y23</f>
        <v>383153.125</v>
      </c>
      <c r="Z23" s="5" t="n">
        <f aca="false">'USA PL'!Z23+'Nigeria PL'!Z23</f>
        <v>384403.125</v>
      </c>
      <c r="AA23" s="5" t="n">
        <f aca="false">'USA PL'!AA23+'Nigeria PL'!AA23</f>
        <v>390653.125</v>
      </c>
      <c r="AB23" s="5" t="n">
        <f aca="false">'USA PL'!AB23+'Nigeria PL'!AB23</f>
        <v>391903.125</v>
      </c>
    </row>
    <row r="25" customFormat="false" ht="15" hidden="false" customHeight="false" outlineLevel="0" collapsed="false">
      <c r="B25" s="3" t="s">
        <v>84</v>
      </c>
      <c r="C25" s="5" t="n">
        <f aca="false">'USA PL'!C25+'Nigeria PL'!C25</f>
        <v>1713850</v>
      </c>
      <c r="D25" s="5" t="n">
        <f aca="false">'USA PL'!D25+'Nigeria PL'!D25</f>
        <v>69491.4583333333</v>
      </c>
      <c r="E25" s="5" t="n">
        <f aca="false">'USA PL'!E25+'Nigeria PL'!E25</f>
        <v>69491.4583333333</v>
      </c>
      <c r="F25" s="5" t="n">
        <f aca="false">'USA PL'!F25+'Nigeria PL'!F25</f>
        <v>93934.5833333333</v>
      </c>
      <c r="G25" s="5" t="n">
        <f aca="false">'USA PL'!G25+'Nigeria PL'!G25</f>
        <v>93934.5833333333</v>
      </c>
      <c r="H25" s="5" t="n">
        <f aca="false">'USA PL'!H25+'Nigeria PL'!H25</f>
        <v>118377.708333333</v>
      </c>
      <c r="I25" s="5" t="n">
        <f aca="false">'USA PL'!I25+'Nigeria PL'!I25</f>
        <v>142820.833333333</v>
      </c>
      <c r="J25" s="5" t="n">
        <f aca="false">'USA PL'!J25+'Nigeria PL'!J25</f>
        <v>118377.708333333</v>
      </c>
      <c r="K25" s="5" t="n">
        <f aca="false">'USA PL'!K25+'Nigeria PL'!K25</f>
        <v>93934.5833333333</v>
      </c>
      <c r="L25" s="5" t="n">
        <f aca="false">'USA PL'!L25+'Nigeria PL'!L25</f>
        <v>142820.833333333</v>
      </c>
      <c r="M25" s="5" t="n">
        <f aca="false">'USA PL'!M25+'Nigeria PL'!M25</f>
        <v>167263.958333333</v>
      </c>
      <c r="N25" s="5" t="n">
        <f aca="false">'USA PL'!N25+'Nigeria PL'!N25</f>
        <v>289479.583333333</v>
      </c>
      <c r="O25" s="5" t="n">
        <f aca="false">'USA PL'!O25+'Nigeria PL'!O25</f>
        <v>313922.708333333</v>
      </c>
      <c r="P25" s="5" t="n">
        <f aca="false">'USA PL'!P25+'Nigeria PL'!P25</f>
        <v>2497162.5</v>
      </c>
      <c r="Q25" s="5" t="n">
        <f aca="false">'USA PL'!Q25+'Nigeria PL'!Q25</f>
        <v>123159.375</v>
      </c>
      <c r="R25" s="5" t="n">
        <f aca="false">'USA PL'!R25+'Nigeria PL'!R25</f>
        <v>123159.375</v>
      </c>
      <c r="S25" s="5" t="n">
        <f aca="false">'USA PL'!S25+'Nigeria PL'!S25</f>
        <v>151471.875</v>
      </c>
      <c r="T25" s="5" t="n">
        <f aca="false">'USA PL'!T25+'Nigeria PL'!T25</f>
        <v>151471.875</v>
      </c>
      <c r="U25" s="5" t="n">
        <f aca="false">'USA PL'!U25+'Nigeria PL'!U25</f>
        <v>179784.375</v>
      </c>
      <c r="V25" s="5" t="n">
        <f aca="false">'USA PL'!V25+'Nigeria PL'!V25</f>
        <v>208096.875</v>
      </c>
      <c r="W25" s="5" t="n">
        <f aca="false">'USA PL'!W25+'Nigeria PL'!W25</f>
        <v>179784.375</v>
      </c>
      <c r="X25" s="5" t="n">
        <f aca="false">'USA PL'!X25+'Nigeria PL'!X25</f>
        <v>151471.875</v>
      </c>
      <c r="Y25" s="5" t="n">
        <f aca="false">'USA PL'!Y25+'Nigeria PL'!Y25</f>
        <v>208096.875</v>
      </c>
      <c r="Z25" s="5" t="n">
        <f aca="false">'USA PL'!Z25+'Nigeria PL'!Z25</f>
        <v>236409.375</v>
      </c>
      <c r="AA25" s="5" t="n">
        <f aca="false">'USA PL'!AA25+'Nigeria PL'!AA25</f>
        <v>377971.875</v>
      </c>
      <c r="AB25" s="5" t="n">
        <f aca="false">'USA PL'!AB25+'Nigeria PL'!AB25</f>
        <v>406284.375</v>
      </c>
    </row>
    <row r="26" customFormat="false" ht="15" hidden="false" customHeight="false" outlineLevel="0" collapsed="false">
      <c r="B26" s="12" t="s">
        <v>85</v>
      </c>
      <c r="C26" s="13" t="n">
        <f aca="false">IF(C6=0,0,C25/C6)</f>
        <v>0.132343629343629</v>
      </c>
      <c r="D26" s="13" t="n">
        <f aca="false">IF(D6=0,0,D25/D6)</f>
        <v>0.0757572109925051</v>
      </c>
      <c r="E26" s="13" t="n">
        <f aca="false">IF(E6=0,0,E25/E6)</f>
        <v>0.0757572109925051</v>
      </c>
      <c r="F26" s="13" t="n">
        <f aca="false">IF(F6=0,0,F25/F6)</f>
        <v>0.0967151437151437</v>
      </c>
      <c r="G26" s="13" t="n">
        <f aca="false">IF(G6=0,0,G25/G6)</f>
        <v>0.0967151437151437</v>
      </c>
      <c r="H26" s="13" t="n">
        <f aca="false">IF(H6=0,0,H25/H6)</f>
        <v>0.115466978256452</v>
      </c>
      <c r="I26" s="13" t="n">
        <f aca="false">IF(I6=0,0,I25/I6)</f>
        <v>0.132343629343629</v>
      </c>
      <c r="J26" s="13" t="n">
        <f aca="false">IF(J6=0,0,J25/J6)</f>
        <v>0.115466978256452</v>
      </c>
      <c r="K26" s="13" t="n">
        <f aca="false">IF(K6=0,0,K25/K6)</f>
        <v>0.0967151437151437</v>
      </c>
      <c r="L26" s="13" t="n">
        <f aca="false">IF(L6=0,0,L25/L6)</f>
        <v>0.132343629343629</v>
      </c>
      <c r="M26" s="13" t="n">
        <f aca="false">IF(M6=0,0,M25/M6)</f>
        <v>0.147612980327266</v>
      </c>
      <c r="N26" s="13" t="n">
        <f aca="false">IF(N6=0,0,N25/N6)</f>
        <v>0.206341253341253</v>
      </c>
      <c r="O26" s="13" t="n">
        <f aca="false">IF(O6=0,0,O25/O6)</f>
        <v>0.215476762476762</v>
      </c>
      <c r="P26" s="13" t="n">
        <f aca="false">IF(P6=0,0,P25/P6)</f>
        <v>0.1664775</v>
      </c>
      <c r="Q26" s="13" t="n">
        <f aca="false">IF(Q6=0,0,Q25/Q6)</f>
        <v>0.115914705882353</v>
      </c>
      <c r="R26" s="13" t="n">
        <f aca="false">IF(R6=0,0,R25/R6)</f>
        <v>0.115914705882353</v>
      </c>
      <c r="S26" s="13" t="n">
        <f aca="false">IF(S6=0,0,S25/S6)</f>
        <v>0.134641666666667</v>
      </c>
      <c r="T26" s="13" t="n">
        <f aca="false">IF(T6=0,0,T25/T6)</f>
        <v>0.134641666666667</v>
      </c>
      <c r="U26" s="13" t="n">
        <f aca="false">IF(U6=0,0,U25/U6)</f>
        <v>0.151397368421053</v>
      </c>
      <c r="V26" s="13" t="n">
        <f aca="false">IF(V6=0,0,V25/V6)</f>
        <v>0.1664775</v>
      </c>
      <c r="W26" s="13" t="n">
        <f aca="false">IF(W6=0,0,W25/W6)</f>
        <v>0.151397368421053</v>
      </c>
      <c r="X26" s="13" t="n">
        <f aca="false">IF(X6=0,0,X25/X6)</f>
        <v>0.134641666666667</v>
      </c>
      <c r="Y26" s="13" t="n">
        <f aca="false">IF(Y6=0,0,Y25/Y6)</f>
        <v>0.1664775</v>
      </c>
      <c r="Z26" s="13" t="n">
        <f aca="false">IF(Z6=0,0,Z25/Z6)</f>
        <v>0.180121428571429</v>
      </c>
      <c r="AA26" s="13" t="n">
        <f aca="false">IF(AA6=0,0,AA25/AA6)</f>
        <v>0.232598076923077</v>
      </c>
      <c r="AB26" s="13" t="n">
        <f aca="false">IF(AB6=0,0,AB25/AB6)</f>
        <v>0.240761111111111</v>
      </c>
    </row>
    <row r="28" customFormat="false" ht="15" hidden="false" customHeight="false" outlineLevel="0" collapsed="false">
      <c r="B28" s="0" t="s">
        <v>86</v>
      </c>
      <c r="C28" s="7" t="n">
        <f aca="false">'USA PL'!C28+'Nigeria PL'!C28</f>
        <v>60000</v>
      </c>
      <c r="D28" s="7" t="n">
        <f aca="false">'USA PL'!D28+'Nigeria PL'!D28</f>
        <v>5000</v>
      </c>
      <c r="E28" s="7" t="n">
        <f aca="false">'USA PL'!E28+'Nigeria PL'!E28</f>
        <v>5000</v>
      </c>
      <c r="F28" s="7" t="n">
        <f aca="false">'USA PL'!F28+'Nigeria PL'!F28</f>
        <v>5000</v>
      </c>
      <c r="G28" s="7" t="n">
        <f aca="false">'USA PL'!G28+'Nigeria PL'!G28</f>
        <v>5000</v>
      </c>
      <c r="H28" s="7" t="n">
        <f aca="false">'USA PL'!H28+'Nigeria PL'!H28</f>
        <v>5000</v>
      </c>
      <c r="I28" s="7" t="n">
        <f aca="false">'USA PL'!I28+'Nigeria PL'!I28</f>
        <v>5000</v>
      </c>
      <c r="J28" s="7" t="n">
        <f aca="false">'USA PL'!J28+'Nigeria PL'!J28</f>
        <v>5000</v>
      </c>
      <c r="K28" s="7" t="n">
        <f aca="false">'USA PL'!K28+'Nigeria PL'!K28</f>
        <v>5000</v>
      </c>
      <c r="L28" s="7" t="n">
        <f aca="false">'USA PL'!L28+'Nigeria PL'!L28</f>
        <v>5000</v>
      </c>
      <c r="M28" s="7" t="n">
        <f aca="false">'USA PL'!M28+'Nigeria PL'!M28</f>
        <v>5000</v>
      </c>
      <c r="N28" s="7" t="n">
        <f aca="false">'USA PL'!N28+'Nigeria PL'!N28</f>
        <v>5000</v>
      </c>
      <c r="O28" s="7" t="n">
        <f aca="false">'USA PL'!O28+'Nigeria PL'!O28</f>
        <v>5000</v>
      </c>
      <c r="P28" s="7" t="n">
        <f aca="false">'USA PL'!P28+'Nigeria PL'!P28</f>
        <v>60000</v>
      </c>
      <c r="Q28" s="7" t="n">
        <f aca="false">'USA PL'!Q28+'Nigeria PL'!Q28</f>
        <v>5000</v>
      </c>
      <c r="R28" s="7" t="n">
        <f aca="false">'USA PL'!R28+'Nigeria PL'!R28</f>
        <v>5000</v>
      </c>
      <c r="S28" s="7" t="n">
        <f aca="false">'USA PL'!S28+'Nigeria PL'!S28</f>
        <v>5000</v>
      </c>
      <c r="T28" s="7" t="n">
        <f aca="false">'USA PL'!T28+'Nigeria PL'!T28</f>
        <v>5000</v>
      </c>
      <c r="U28" s="7" t="n">
        <f aca="false">'USA PL'!U28+'Nigeria PL'!U28</f>
        <v>5000</v>
      </c>
      <c r="V28" s="7" t="n">
        <f aca="false">'USA PL'!V28+'Nigeria PL'!V28</f>
        <v>5000</v>
      </c>
      <c r="W28" s="7" t="n">
        <f aca="false">'USA PL'!W28+'Nigeria PL'!W28</f>
        <v>5000</v>
      </c>
      <c r="X28" s="7" t="n">
        <f aca="false">'USA PL'!X28+'Nigeria PL'!X28</f>
        <v>5000</v>
      </c>
      <c r="Y28" s="7" t="n">
        <f aca="false">'USA PL'!Y28+'Nigeria PL'!Y28</f>
        <v>5000</v>
      </c>
      <c r="Z28" s="7" t="n">
        <f aca="false">'USA PL'!Z28+'Nigeria PL'!Z28</f>
        <v>5000</v>
      </c>
      <c r="AA28" s="7" t="n">
        <f aca="false">'USA PL'!AA28+'Nigeria PL'!AA28</f>
        <v>5000</v>
      </c>
      <c r="AB28" s="7" t="n">
        <f aca="false">'USA PL'!AB28+'Nigeria PL'!AB28</f>
        <v>5000</v>
      </c>
    </row>
    <row r="30" customFormat="false" ht="15" hidden="false" customHeight="false" outlineLevel="0" collapsed="false">
      <c r="B30" s="3" t="s">
        <v>87</v>
      </c>
      <c r="C30" s="5" t="n">
        <f aca="false">'USA PL'!C30+'Nigeria PL'!C30</f>
        <v>1653850</v>
      </c>
      <c r="D30" s="5" t="n">
        <f aca="false">'USA PL'!D30+'Nigeria PL'!D30</f>
        <v>64491.4583333333</v>
      </c>
      <c r="E30" s="5" t="n">
        <f aca="false">'USA PL'!E30+'Nigeria PL'!E30</f>
        <v>64491.4583333333</v>
      </c>
      <c r="F30" s="5" t="n">
        <f aca="false">'USA PL'!F30+'Nigeria PL'!F30</f>
        <v>88934.5833333333</v>
      </c>
      <c r="G30" s="5" t="n">
        <f aca="false">'USA PL'!G30+'Nigeria PL'!G30</f>
        <v>88934.5833333333</v>
      </c>
      <c r="H30" s="5" t="n">
        <f aca="false">'USA PL'!H30+'Nigeria PL'!H30</f>
        <v>113377.708333333</v>
      </c>
      <c r="I30" s="5" t="n">
        <f aca="false">'USA PL'!I30+'Nigeria PL'!I30</f>
        <v>137820.833333333</v>
      </c>
      <c r="J30" s="5" t="n">
        <f aca="false">'USA PL'!J30+'Nigeria PL'!J30</f>
        <v>113377.708333333</v>
      </c>
      <c r="K30" s="5" t="n">
        <f aca="false">'USA PL'!K30+'Nigeria PL'!K30</f>
        <v>88934.5833333333</v>
      </c>
      <c r="L30" s="5" t="n">
        <f aca="false">'USA PL'!L30+'Nigeria PL'!L30</f>
        <v>137820.833333333</v>
      </c>
      <c r="M30" s="5" t="n">
        <f aca="false">'USA PL'!M30+'Nigeria PL'!M30</f>
        <v>162263.958333333</v>
      </c>
      <c r="N30" s="5" t="n">
        <f aca="false">'USA PL'!N30+'Nigeria PL'!N30</f>
        <v>284479.583333333</v>
      </c>
      <c r="O30" s="5" t="n">
        <f aca="false">'USA PL'!O30+'Nigeria PL'!O30</f>
        <v>308922.708333333</v>
      </c>
      <c r="P30" s="5" t="n">
        <f aca="false">'USA PL'!P30+'Nigeria PL'!P30</f>
        <v>2437162.5</v>
      </c>
      <c r="Q30" s="5" t="n">
        <f aca="false">'USA PL'!Q30+'Nigeria PL'!Q30</f>
        <v>118159.375</v>
      </c>
      <c r="R30" s="5" t="n">
        <f aca="false">'USA PL'!R30+'Nigeria PL'!R30</f>
        <v>118159.375</v>
      </c>
      <c r="S30" s="5" t="n">
        <f aca="false">'USA PL'!S30+'Nigeria PL'!S30</f>
        <v>146471.875</v>
      </c>
      <c r="T30" s="5" t="n">
        <f aca="false">'USA PL'!T30+'Nigeria PL'!T30</f>
        <v>146471.875</v>
      </c>
      <c r="U30" s="5" t="n">
        <f aca="false">'USA PL'!U30+'Nigeria PL'!U30</f>
        <v>174784.375</v>
      </c>
      <c r="V30" s="5" t="n">
        <f aca="false">'USA PL'!V30+'Nigeria PL'!V30</f>
        <v>203096.875</v>
      </c>
      <c r="W30" s="5" t="n">
        <f aca="false">'USA PL'!W30+'Nigeria PL'!W30</f>
        <v>174784.375</v>
      </c>
      <c r="X30" s="5" t="n">
        <f aca="false">'USA PL'!X30+'Nigeria PL'!X30</f>
        <v>146471.875</v>
      </c>
      <c r="Y30" s="5" t="n">
        <f aca="false">'USA PL'!Y30+'Nigeria PL'!Y30</f>
        <v>203096.875</v>
      </c>
      <c r="Z30" s="5" t="n">
        <f aca="false">'USA PL'!Z30+'Nigeria PL'!Z30</f>
        <v>231409.375</v>
      </c>
      <c r="AA30" s="5" t="n">
        <f aca="false">'USA PL'!AA30+'Nigeria PL'!AA30</f>
        <v>372971.875</v>
      </c>
      <c r="AB30" s="5" t="n">
        <f aca="false">'USA PL'!AB30+'Nigeria PL'!AB30</f>
        <v>401284.375</v>
      </c>
    </row>
    <row r="31" customFormat="false" ht="15" hidden="false" customHeight="false" outlineLevel="0" collapsed="false">
      <c r="B31" s="12" t="s">
        <v>88</v>
      </c>
      <c r="C31" s="13" t="n">
        <f aca="false">IF(C6=0,0,C30/C6)</f>
        <v>0.127710424710425</v>
      </c>
      <c r="D31" s="13" t="n">
        <f aca="false">IF(D6=0,0,D30/D6)</f>
        <v>0.0703063820122643</v>
      </c>
      <c r="E31" s="13" t="n">
        <f aca="false">IF(E6=0,0,E30/E6)</f>
        <v>0.0703063820122643</v>
      </c>
      <c r="F31" s="13" t="n">
        <f aca="false">IF(F6=0,0,F30/F6)</f>
        <v>0.0915671385671385</v>
      </c>
      <c r="G31" s="13" t="n">
        <f aca="false">IF(G6=0,0,G30/G6)</f>
        <v>0.0915671385671385</v>
      </c>
      <c r="H31" s="13" t="n">
        <f aca="false">IF(H6=0,0,H30/H6)</f>
        <v>0.110589920747815</v>
      </c>
      <c r="I31" s="13" t="n">
        <f aca="false">IF(I6=0,0,I30/I6)</f>
        <v>0.127710424710425</v>
      </c>
      <c r="J31" s="13" t="n">
        <f aca="false">IF(J6=0,0,J30/J6)</f>
        <v>0.110589920747815</v>
      </c>
      <c r="K31" s="13" t="n">
        <f aca="false">IF(K6=0,0,K30/K6)</f>
        <v>0.0915671385671385</v>
      </c>
      <c r="L31" s="13" t="n">
        <f aca="false">IF(L6=0,0,L30/L6)</f>
        <v>0.127710424710425</v>
      </c>
      <c r="M31" s="13" t="n">
        <f aca="false">IF(M6=0,0,M30/M6)</f>
        <v>0.143200404486119</v>
      </c>
      <c r="N31" s="13" t="n">
        <f aca="false">IF(N6=0,0,N30/N6)</f>
        <v>0.20277724977725</v>
      </c>
      <c r="O31" s="13" t="n">
        <f aca="false">IF(O6=0,0,O30/O6)</f>
        <v>0.212044759044759</v>
      </c>
      <c r="P31" s="13" t="n">
        <f aca="false">IF(P6=0,0,P30/P6)</f>
        <v>0.1624775</v>
      </c>
      <c r="Q31" s="13" t="n">
        <f aca="false">IF(Q6=0,0,Q30/Q6)</f>
        <v>0.111208823529412</v>
      </c>
      <c r="R31" s="13" t="n">
        <f aca="false">IF(R6=0,0,R30/R6)</f>
        <v>0.111208823529412</v>
      </c>
      <c r="S31" s="13" t="n">
        <f aca="false">IF(S6=0,0,S30/S6)</f>
        <v>0.130197222222222</v>
      </c>
      <c r="T31" s="13" t="n">
        <f aca="false">IF(T6=0,0,T30/T6)</f>
        <v>0.130197222222222</v>
      </c>
      <c r="U31" s="13" t="n">
        <f aca="false">IF(U6=0,0,U30/U6)</f>
        <v>0.147186842105263</v>
      </c>
      <c r="V31" s="13" t="n">
        <f aca="false">IF(V6=0,0,V30/V6)</f>
        <v>0.1624775</v>
      </c>
      <c r="W31" s="13" t="n">
        <f aca="false">IF(W6=0,0,W30/W6)</f>
        <v>0.147186842105263</v>
      </c>
      <c r="X31" s="13" t="n">
        <f aca="false">IF(X6=0,0,X30/X6)</f>
        <v>0.130197222222222</v>
      </c>
      <c r="Y31" s="13" t="n">
        <f aca="false">IF(Y6=0,0,Y30/Y6)</f>
        <v>0.1624775</v>
      </c>
      <c r="Z31" s="13" t="n">
        <f aca="false">IF(Z6=0,0,Z30/Z6)</f>
        <v>0.176311904761905</v>
      </c>
      <c r="AA31" s="13" t="n">
        <f aca="false">IF(AA6=0,0,AA30/AA6)</f>
        <v>0.229521153846154</v>
      </c>
      <c r="AB31" s="13" t="n">
        <f aca="false">IF(AB6=0,0,AB30/AB6)</f>
        <v>0.237798148148148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Z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26" min="3" style="0" width="11"/>
  </cols>
  <sheetData>
    <row r="1" customFormat="false" ht="17.35" hidden="false" customHeight="false" outlineLevel="0" collapsed="false">
      <c r="B1" s="1" t="s">
        <v>92</v>
      </c>
    </row>
    <row r="2" customFormat="false" ht="15" hidden="false" customHeight="false" outlineLevel="0" collapsed="false">
      <c r="B2" s="2" t="s">
        <v>93</v>
      </c>
    </row>
    <row r="4" customFormat="false" ht="15" hidden="false" customHeight="false" outlineLevel="0" collapsed="false">
      <c r="C4" s="3" t="s">
        <v>94</v>
      </c>
      <c r="D4" s="3" t="s">
        <v>95</v>
      </c>
      <c r="E4" s="3" t="s">
        <v>96</v>
      </c>
      <c r="F4" s="3" t="s">
        <v>97</v>
      </c>
      <c r="G4" s="3" t="s">
        <v>98</v>
      </c>
      <c r="H4" s="3" t="s">
        <v>99</v>
      </c>
      <c r="I4" s="3" t="s">
        <v>100</v>
      </c>
      <c r="J4" s="3" t="s">
        <v>101</v>
      </c>
      <c r="K4" s="3" t="s">
        <v>102</v>
      </c>
      <c r="L4" s="3" t="s">
        <v>103</v>
      </c>
      <c r="M4" s="3" t="s">
        <v>104</v>
      </c>
      <c r="N4" s="3" t="s">
        <v>105</v>
      </c>
      <c r="O4" s="3" t="s">
        <v>106</v>
      </c>
      <c r="P4" s="3" t="s">
        <v>107</v>
      </c>
      <c r="Q4" s="3" t="s">
        <v>108</v>
      </c>
      <c r="R4" s="3" t="s">
        <v>109</v>
      </c>
      <c r="S4" s="3" t="s">
        <v>110</v>
      </c>
      <c r="T4" s="3" t="s">
        <v>111</v>
      </c>
      <c r="U4" s="3" t="s">
        <v>112</v>
      </c>
      <c r="V4" s="3" t="s">
        <v>113</v>
      </c>
      <c r="W4" s="3" t="s">
        <v>114</v>
      </c>
      <c r="X4" s="3" t="s">
        <v>115</v>
      </c>
      <c r="Y4" s="3" t="s">
        <v>116</v>
      </c>
      <c r="Z4" s="3" t="s">
        <v>117</v>
      </c>
    </row>
    <row r="5" customFormat="false" ht="15" hidden="false" customHeight="false" outlineLevel="0" collapsed="false">
      <c r="B5" s="3" t="s">
        <v>6</v>
      </c>
    </row>
    <row r="6" customFormat="false" ht="15" hidden="false" customHeight="false" outlineLevel="0" collapsed="false">
      <c r="B6" s="0" t="s">
        <v>118</v>
      </c>
      <c r="C6" s="11" t="n">
        <f aca="false">Assumptions!$C$38</f>
        <v>2200000</v>
      </c>
      <c r="D6" s="7" t="n">
        <f aca="false">C11</f>
        <v>2198866.04166667</v>
      </c>
      <c r="E6" s="7" t="n">
        <f aca="false">D11</f>
        <v>2197732.08333333</v>
      </c>
      <c r="F6" s="7" t="n">
        <f aca="false">E11</f>
        <v>2178706.66666667</v>
      </c>
      <c r="G6" s="7" t="n">
        <f aca="false">F11</f>
        <v>2192389.58333333</v>
      </c>
      <c r="H6" s="7" t="n">
        <f aca="false">G11</f>
        <v>2188181.04166667</v>
      </c>
      <c r="I6" s="7" t="n">
        <f aca="false">H11</f>
        <v>2198789.375</v>
      </c>
      <c r="J6" s="7" t="n">
        <f aca="false">I11</f>
        <v>2259997.5</v>
      </c>
      <c r="K6" s="7" t="n">
        <f aca="false">J11</f>
        <v>2306388.75</v>
      </c>
      <c r="L6" s="7" t="n">
        <f aca="false">K11</f>
        <v>2284288.75</v>
      </c>
      <c r="M6" s="7" t="n">
        <f aca="false">L11</f>
        <v>2309713.95833333</v>
      </c>
      <c r="N6" s="7" t="n">
        <f aca="false">M11</f>
        <v>2278390.20833333</v>
      </c>
      <c r="O6" s="7" t="n">
        <f aca="false">N11</f>
        <v>2392716.66666667</v>
      </c>
      <c r="P6" s="7" t="n">
        <f aca="false">O11</f>
        <v>2665252.60416667</v>
      </c>
      <c r="Q6" s="7" t="n">
        <f aca="false">P11</f>
        <v>2692163.54166667</v>
      </c>
      <c r="R6" s="7" t="n">
        <f aca="false">Q11</f>
        <v>2698561.97916667</v>
      </c>
      <c r="S6" s="7" t="n">
        <f aca="false">R11</f>
        <v>2742460.41666667</v>
      </c>
      <c r="T6" s="7" t="n">
        <f aca="false">S11</f>
        <v>2765846.35416667</v>
      </c>
      <c r="U6" s="7" t="n">
        <f aca="false">T11</f>
        <v>2806219.79166667</v>
      </c>
      <c r="V6" s="7" t="n">
        <f aca="false">U11</f>
        <v>2904605.72916667</v>
      </c>
      <c r="W6" s="7" t="n">
        <f aca="false">V11</f>
        <v>2986004.16666667</v>
      </c>
      <c r="X6" s="7" t="n">
        <f aca="false">W11</f>
        <v>2988877.60416667</v>
      </c>
      <c r="Y6" s="7" t="n">
        <f aca="false">X11</f>
        <v>3046238.54166667</v>
      </c>
      <c r="Z6" s="7" t="n">
        <f aca="false">Y11</f>
        <v>3038536.97916667</v>
      </c>
    </row>
    <row r="7" customFormat="false" ht="15" hidden="false" customHeight="false" outlineLevel="0" collapsed="false">
      <c r="B7" s="0" t="s">
        <v>119</v>
      </c>
      <c r="C7" s="11" t="n">
        <f aca="false">'USA PL'!D6</f>
        <v>556041.666666667</v>
      </c>
      <c r="D7" s="11" t="n">
        <f aca="false">'USA PL'!D6</f>
        <v>556041.666666667</v>
      </c>
      <c r="E7" s="11" t="n">
        <f aca="false">'USA PL'!E6</f>
        <v>556041.666666667</v>
      </c>
      <c r="F7" s="11" t="n">
        <f aca="false">'USA PL'!F6</f>
        <v>588750</v>
      </c>
      <c r="G7" s="11" t="n">
        <f aca="false">'USA PL'!G6</f>
        <v>588750</v>
      </c>
      <c r="H7" s="11" t="n">
        <f aca="false">'USA PL'!H6</f>
        <v>621458.333333333</v>
      </c>
      <c r="I7" s="11" t="n">
        <f aca="false">'USA PL'!I6</f>
        <v>654166.666666667</v>
      </c>
      <c r="J7" s="11" t="n">
        <f aca="false">'USA PL'!J6</f>
        <v>621458.333333333</v>
      </c>
      <c r="K7" s="11" t="n">
        <f aca="false">'USA PL'!K6</f>
        <v>588750</v>
      </c>
      <c r="L7" s="11" t="n">
        <f aca="false">'USA PL'!L6</f>
        <v>654166.666666667</v>
      </c>
      <c r="M7" s="11" t="n">
        <f aca="false">'USA PL'!M6</f>
        <v>686875</v>
      </c>
      <c r="N7" s="11" t="n">
        <f aca="false">'USA PL'!N6</f>
        <v>850416.666666667</v>
      </c>
      <c r="O7" s="11" t="n">
        <f aca="false">'USA PL'!O6</f>
        <v>883125</v>
      </c>
      <c r="P7" s="11" t="n">
        <f aca="false">'USA PL'!Q6</f>
        <v>637500</v>
      </c>
      <c r="Q7" s="11" t="n">
        <f aca="false">'USA PL'!R6</f>
        <v>637500</v>
      </c>
      <c r="R7" s="11" t="n">
        <f aca="false">'USA PL'!S6</f>
        <v>675000</v>
      </c>
      <c r="S7" s="11" t="n">
        <f aca="false">'USA PL'!T6</f>
        <v>675000</v>
      </c>
      <c r="T7" s="11" t="n">
        <f aca="false">'USA PL'!U6</f>
        <v>712500</v>
      </c>
      <c r="U7" s="11" t="n">
        <f aca="false">'USA PL'!V6</f>
        <v>750000</v>
      </c>
      <c r="V7" s="11" t="n">
        <f aca="false">'USA PL'!W6</f>
        <v>712500</v>
      </c>
      <c r="W7" s="11" t="n">
        <f aca="false">'USA PL'!X6</f>
        <v>675000</v>
      </c>
      <c r="X7" s="11" t="n">
        <f aca="false">'USA PL'!Y6</f>
        <v>750000</v>
      </c>
      <c r="Y7" s="11" t="n">
        <f aca="false">'USA PL'!Z6</f>
        <v>787500</v>
      </c>
      <c r="Z7" s="11" t="n">
        <f aca="false">'USA PL'!AA6</f>
        <v>975000</v>
      </c>
    </row>
    <row r="8" customFormat="false" ht="15" hidden="false" customHeight="false" outlineLevel="0" collapsed="false">
      <c r="B8" s="0" t="s">
        <v>120</v>
      </c>
      <c r="C8" s="11" t="n">
        <f aca="false">'USA PL'!D9</f>
        <v>293033.958333333</v>
      </c>
      <c r="D8" s="11" t="n">
        <f aca="false">'USA PL'!E9</f>
        <v>293033.958333333</v>
      </c>
      <c r="E8" s="11" t="n">
        <f aca="false">'USA PL'!F9</f>
        <v>310271.25</v>
      </c>
      <c r="F8" s="11" t="n">
        <f aca="false">'USA PL'!G9</f>
        <v>310271.25</v>
      </c>
      <c r="G8" s="11" t="n">
        <f aca="false">'USA PL'!H9</f>
        <v>327508.541666667</v>
      </c>
      <c r="H8" s="11" t="n">
        <f aca="false">'USA PL'!I9</f>
        <v>344745.833333333</v>
      </c>
      <c r="I8" s="11" t="n">
        <f aca="false">'USA PL'!J9</f>
        <v>327508.541666667</v>
      </c>
      <c r="J8" s="11" t="n">
        <f aca="false">'USA PL'!K9</f>
        <v>310271.25</v>
      </c>
      <c r="K8" s="11" t="n">
        <f aca="false">'USA PL'!L9</f>
        <v>344745.833333333</v>
      </c>
      <c r="L8" s="11" t="n">
        <f aca="false">'USA PL'!M9</f>
        <v>361983.125</v>
      </c>
      <c r="M8" s="11" t="n">
        <f aca="false">'USA PL'!N9</f>
        <v>448169.583333333</v>
      </c>
      <c r="N8" s="11" t="n">
        <f aca="false">'USA PL'!O9</f>
        <v>465406.875</v>
      </c>
      <c r="O8" s="11" t="n">
        <f aca="false">'USA PL'!Q9</f>
        <v>335962.5</v>
      </c>
      <c r="P8" s="11" t="n">
        <f aca="false">'USA PL'!R9</f>
        <v>335962.5</v>
      </c>
      <c r="Q8" s="11" t="n">
        <f aca="false">'USA PL'!S9</f>
        <v>355725</v>
      </c>
      <c r="R8" s="11" t="n">
        <f aca="false">'USA PL'!T9</f>
        <v>355725</v>
      </c>
      <c r="S8" s="11" t="n">
        <f aca="false">'USA PL'!U9</f>
        <v>375487.5</v>
      </c>
      <c r="T8" s="11" t="n">
        <f aca="false">'USA PL'!V9</f>
        <v>395250</v>
      </c>
      <c r="U8" s="11" t="n">
        <f aca="false">'USA PL'!W9</f>
        <v>375487.5</v>
      </c>
      <c r="V8" s="11" t="n">
        <f aca="false">'USA PL'!X9</f>
        <v>355725</v>
      </c>
      <c r="W8" s="11" t="n">
        <f aca="false">'USA PL'!Y9</f>
        <v>395250</v>
      </c>
      <c r="X8" s="11" t="n">
        <f aca="false">'USA PL'!Z9</f>
        <v>415012.5</v>
      </c>
      <c r="Y8" s="11" t="n">
        <f aca="false">'USA PL'!AA9</f>
        <v>513825</v>
      </c>
      <c r="Z8" s="11" t="n">
        <f aca="false">'USA PL'!AB9</f>
        <v>533587.5</v>
      </c>
    </row>
    <row r="9" customFormat="false" ht="15" hidden="false" customHeight="false" outlineLevel="0" collapsed="false">
      <c r="B9" s="0" t="s">
        <v>121</v>
      </c>
      <c r="C9" s="11" t="n">
        <f aca="false">'USA PL'!D23</f>
        <v>264141.666666667</v>
      </c>
      <c r="D9" s="11" t="n">
        <f aca="false">'USA PL'!E23</f>
        <v>264141.666666667</v>
      </c>
      <c r="E9" s="11" t="n">
        <f aca="false">'USA PL'!F23</f>
        <v>264795.833333333</v>
      </c>
      <c r="F9" s="11" t="n">
        <f aca="false">'USA PL'!G23</f>
        <v>264795.833333333</v>
      </c>
      <c r="G9" s="11" t="n">
        <f aca="false">'USA PL'!H23</f>
        <v>265450</v>
      </c>
      <c r="H9" s="11" t="n">
        <f aca="false">'USA PL'!I23</f>
        <v>266104.166666667</v>
      </c>
      <c r="I9" s="11" t="n">
        <f aca="false">'USA PL'!J23</f>
        <v>265450</v>
      </c>
      <c r="J9" s="11" t="n">
        <f aca="false">'USA PL'!K23</f>
        <v>264795.833333333</v>
      </c>
      <c r="K9" s="11" t="n">
        <f aca="false">'USA PL'!L23</f>
        <v>266104.166666667</v>
      </c>
      <c r="L9" s="11" t="n">
        <f aca="false">'USA PL'!M23</f>
        <v>266758.333333333</v>
      </c>
      <c r="M9" s="11" t="n">
        <f aca="false">'USA PL'!N23</f>
        <v>270029.166666667</v>
      </c>
      <c r="N9" s="11" t="n">
        <f aca="false">'USA PL'!O23</f>
        <v>270683.333333333</v>
      </c>
      <c r="O9" s="11" t="n">
        <f aca="false">'USA PL'!Q23</f>
        <v>274626.5625</v>
      </c>
      <c r="P9" s="11" t="n">
        <f aca="false">'USA PL'!R23</f>
        <v>274626.5625</v>
      </c>
      <c r="Q9" s="11" t="n">
        <f aca="false">'USA PL'!S23</f>
        <v>275376.5625</v>
      </c>
      <c r="R9" s="11" t="n">
        <f aca="false">'USA PL'!T23</f>
        <v>275376.5625</v>
      </c>
      <c r="S9" s="11" t="n">
        <f aca="false">'USA PL'!U23</f>
        <v>276126.5625</v>
      </c>
      <c r="T9" s="11" t="n">
        <f aca="false">'USA PL'!V23</f>
        <v>276876.5625</v>
      </c>
      <c r="U9" s="11" t="n">
        <f aca="false">'USA PL'!W23</f>
        <v>276126.5625</v>
      </c>
      <c r="V9" s="11" t="n">
        <f aca="false">'USA PL'!X23</f>
        <v>275376.5625</v>
      </c>
      <c r="W9" s="11" t="n">
        <f aca="false">'USA PL'!Y23</f>
        <v>276876.5625</v>
      </c>
      <c r="X9" s="11" t="n">
        <f aca="false">'USA PL'!Z23</f>
        <v>277626.5625</v>
      </c>
      <c r="Y9" s="11" t="n">
        <f aca="false">'USA PL'!AA23</f>
        <v>281376.5625</v>
      </c>
      <c r="Z9" s="11" t="n">
        <f aca="false">'USA PL'!AB23</f>
        <v>282126.5625</v>
      </c>
    </row>
    <row r="10" customFormat="false" ht="15" hidden="false" customHeight="false" outlineLevel="0" collapsed="false">
      <c r="B10" s="3" t="s">
        <v>122</v>
      </c>
      <c r="C10" s="5" t="n">
        <f aca="false">C7-C8-C9</f>
        <v>-1133.95833333337</v>
      </c>
      <c r="D10" s="5" t="n">
        <f aca="false">D7-D8-D9</f>
        <v>-1133.95833333337</v>
      </c>
      <c r="E10" s="5" t="n">
        <f aca="false">E7-E8-E9</f>
        <v>-19025.4166666667</v>
      </c>
      <c r="F10" s="5" t="n">
        <f aca="false">F7-F8-F9</f>
        <v>13682.9166666666</v>
      </c>
      <c r="G10" s="5" t="n">
        <f aca="false">G7-G8-G9</f>
        <v>-4208.54166666669</v>
      </c>
      <c r="H10" s="5" t="n">
        <f aca="false">H7-H8-H9</f>
        <v>10608.3333333334</v>
      </c>
      <c r="I10" s="5" t="n">
        <f aca="false">I7-I8-I9</f>
        <v>61208.1249999999</v>
      </c>
      <c r="J10" s="5" t="n">
        <f aca="false">J7-J8-J9</f>
        <v>46391.25</v>
      </c>
      <c r="K10" s="5" t="n">
        <f aca="false">K7-K8-K9</f>
        <v>-22100</v>
      </c>
      <c r="L10" s="5" t="n">
        <f aca="false">L7-L8-L9</f>
        <v>25425.2083333333</v>
      </c>
      <c r="M10" s="5" t="n">
        <f aca="false">M7-M8-M9</f>
        <v>-31323.75</v>
      </c>
      <c r="N10" s="5" t="n">
        <f aca="false">N7-N8-N9</f>
        <v>114326.458333333</v>
      </c>
      <c r="O10" s="5" t="n">
        <f aca="false">O7-O8-O9</f>
        <v>272535.9375</v>
      </c>
      <c r="P10" s="5" t="n">
        <f aca="false">P7-P8-P9</f>
        <v>26910.9375000001</v>
      </c>
      <c r="Q10" s="5" t="n">
        <f aca="false">Q7-Q8-Q9</f>
        <v>6398.43750000006</v>
      </c>
      <c r="R10" s="5" t="n">
        <f aca="false">R7-R8-R9</f>
        <v>43898.4375000001</v>
      </c>
      <c r="S10" s="5" t="n">
        <f aca="false">S7-S8-S9</f>
        <v>23385.9375000001</v>
      </c>
      <c r="T10" s="5" t="n">
        <f aca="false">T7-T8-T9</f>
        <v>40373.4375000001</v>
      </c>
      <c r="U10" s="5" t="n">
        <f aca="false">U7-U8-U9</f>
        <v>98385.9375000001</v>
      </c>
      <c r="V10" s="5" t="n">
        <f aca="false">V7-V8-V9</f>
        <v>81398.4375000001</v>
      </c>
      <c r="W10" s="5" t="n">
        <f aca="false">W7-W8-W9</f>
        <v>2873.43750000006</v>
      </c>
      <c r="X10" s="5" t="n">
        <f aca="false">X7-X8-X9</f>
        <v>57360.9375000001</v>
      </c>
      <c r="Y10" s="5" t="n">
        <f aca="false">Y7-Y8-Y9</f>
        <v>-7701.56249999994</v>
      </c>
      <c r="Z10" s="5" t="n">
        <f aca="false">Z7-Z8-Z9</f>
        <v>159285.9375</v>
      </c>
    </row>
    <row r="11" customFormat="false" ht="15" hidden="false" customHeight="false" outlineLevel="0" collapsed="false">
      <c r="B11" s="3" t="s">
        <v>123</v>
      </c>
      <c r="C11" s="5" t="n">
        <f aca="false">C6+C10</f>
        <v>2198866.04166667</v>
      </c>
      <c r="D11" s="5" t="n">
        <f aca="false">D6+D10</f>
        <v>2197732.08333333</v>
      </c>
      <c r="E11" s="5" t="n">
        <f aca="false">E6+E10</f>
        <v>2178706.66666667</v>
      </c>
      <c r="F11" s="5" t="n">
        <f aca="false">F6+F10</f>
        <v>2192389.58333333</v>
      </c>
      <c r="G11" s="5" t="n">
        <f aca="false">G6+G10</f>
        <v>2188181.04166667</v>
      </c>
      <c r="H11" s="5" t="n">
        <f aca="false">H6+H10</f>
        <v>2198789.375</v>
      </c>
      <c r="I11" s="5" t="n">
        <f aca="false">I6+I10</f>
        <v>2259997.5</v>
      </c>
      <c r="J11" s="5" t="n">
        <f aca="false">J6+J10</f>
        <v>2306388.75</v>
      </c>
      <c r="K11" s="5" t="n">
        <f aca="false">K6+K10</f>
        <v>2284288.75</v>
      </c>
      <c r="L11" s="5" t="n">
        <f aca="false">L6+L10</f>
        <v>2309713.95833333</v>
      </c>
      <c r="M11" s="5" t="n">
        <f aca="false">M6+M10</f>
        <v>2278390.20833333</v>
      </c>
      <c r="N11" s="5" t="n">
        <f aca="false">N6+N10</f>
        <v>2392716.66666667</v>
      </c>
      <c r="O11" s="5" t="n">
        <f aca="false">O6+O10</f>
        <v>2665252.60416667</v>
      </c>
      <c r="P11" s="5" t="n">
        <f aca="false">P6+P10</f>
        <v>2692163.54166667</v>
      </c>
      <c r="Q11" s="5" t="n">
        <f aca="false">Q6+Q10</f>
        <v>2698561.97916667</v>
      </c>
      <c r="R11" s="5" t="n">
        <f aca="false">R6+R10</f>
        <v>2742460.41666667</v>
      </c>
      <c r="S11" s="5" t="n">
        <f aca="false">S6+S10</f>
        <v>2765846.35416667</v>
      </c>
      <c r="T11" s="5" t="n">
        <f aca="false">T6+T10</f>
        <v>2806219.79166667</v>
      </c>
      <c r="U11" s="5" t="n">
        <f aca="false">U6+U10</f>
        <v>2904605.72916667</v>
      </c>
      <c r="V11" s="5" t="n">
        <f aca="false">V6+V10</f>
        <v>2986004.16666667</v>
      </c>
      <c r="W11" s="5" t="n">
        <f aca="false">W6+W10</f>
        <v>2988877.60416667</v>
      </c>
      <c r="X11" s="5" t="n">
        <f aca="false">X6+X10</f>
        <v>3046238.54166667</v>
      </c>
      <c r="Y11" s="5" t="n">
        <f aca="false">Y6+Y10</f>
        <v>3038536.97916667</v>
      </c>
      <c r="Z11" s="5" t="n">
        <f aca="false">Z6+Z10</f>
        <v>3197822.91666667</v>
      </c>
    </row>
    <row r="13" customFormat="false" ht="15" hidden="false" customHeight="false" outlineLevel="0" collapsed="false">
      <c r="B13" s="3" t="s">
        <v>7</v>
      </c>
    </row>
    <row r="14" customFormat="false" ht="15" hidden="false" customHeight="false" outlineLevel="0" collapsed="false">
      <c r="B14" s="0" t="s">
        <v>118</v>
      </c>
      <c r="C14" s="11" t="n">
        <f aca="false">Assumptions!$C$39</f>
        <v>2200000</v>
      </c>
      <c r="D14" s="7" t="n">
        <f aca="false">C19</f>
        <v>2270625.41666667</v>
      </c>
      <c r="E14" s="7" t="n">
        <f aca="false">D19</f>
        <v>2341250.83333333</v>
      </c>
      <c r="F14" s="7" t="n">
        <f aca="false">E19</f>
        <v>2400252.5</v>
      </c>
      <c r="G14" s="7" t="n">
        <f aca="false">F19</f>
        <v>2480504.16666667</v>
      </c>
      <c r="H14" s="7" t="n">
        <f aca="false">G19</f>
        <v>2549132.08333333</v>
      </c>
      <c r="I14" s="7" t="n">
        <f aca="false">H19</f>
        <v>2627386.25</v>
      </c>
      <c r="J14" s="7" t="n">
        <f aca="false">I19</f>
        <v>2738514.16666667</v>
      </c>
      <c r="K14" s="7" t="n">
        <f aca="false">J19</f>
        <v>2840015.83333333</v>
      </c>
      <c r="L14" s="7" t="n">
        <f aca="false">K19</f>
        <v>2897020</v>
      </c>
      <c r="M14" s="7" t="n">
        <f aca="false">L19</f>
        <v>2984900.41666667</v>
      </c>
      <c r="N14" s="7" t="n">
        <f aca="false">M19</f>
        <v>3035912.08333333</v>
      </c>
      <c r="O14" s="7" t="n">
        <f aca="false">N19</f>
        <v>3181550</v>
      </c>
      <c r="P14" s="7" t="n">
        <f aca="false">O19</f>
        <v>3426548.4375</v>
      </c>
      <c r="Q14" s="7" t="n">
        <f aca="false">P19</f>
        <v>3522796.875</v>
      </c>
      <c r="R14" s="7" t="n">
        <f aca="false">Q19</f>
        <v>3605370.3125</v>
      </c>
      <c r="S14" s="7" t="n">
        <f aca="false">R19</f>
        <v>3712943.75</v>
      </c>
      <c r="T14" s="7" t="n">
        <f aca="false">S19</f>
        <v>3806842.1875</v>
      </c>
      <c r="U14" s="7" t="n">
        <f aca="false">T19</f>
        <v>3912065.625</v>
      </c>
      <c r="V14" s="7" t="n">
        <f aca="false">U19</f>
        <v>4055964.0625</v>
      </c>
      <c r="W14" s="7" t="n">
        <f aca="false">V19</f>
        <v>4188537.5</v>
      </c>
      <c r="X14" s="7" t="n">
        <f aca="false">W19</f>
        <v>4268760.9375</v>
      </c>
      <c r="Y14" s="7" t="n">
        <f aca="false">X19</f>
        <v>4385309.375</v>
      </c>
      <c r="Z14" s="7" t="n">
        <f aca="false">Y19</f>
        <v>4458482.8125</v>
      </c>
    </row>
    <row r="15" customFormat="false" ht="15" hidden="false" customHeight="false" outlineLevel="0" collapsed="false">
      <c r="B15" s="0" t="s">
        <v>119</v>
      </c>
      <c r="C15" s="11" t="n">
        <f aca="false">'Nigeria PL'!D6</f>
        <v>361250</v>
      </c>
      <c r="D15" s="11" t="n">
        <f aca="false">'Nigeria PL'!D6</f>
        <v>361250</v>
      </c>
      <c r="E15" s="11" t="n">
        <f aca="false">'Nigeria PL'!E6</f>
        <v>361250</v>
      </c>
      <c r="F15" s="11" t="n">
        <f aca="false">'Nigeria PL'!F6</f>
        <v>382500</v>
      </c>
      <c r="G15" s="11" t="n">
        <f aca="false">'Nigeria PL'!G6</f>
        <v>382500</v>
      </c>
      <c r="H15" s="11" t="n">
        <f aca="false">'Nigeria PL'!H6</f>
        <v>403750</v>
      </c>
      <c r="I15" s="11" t="n">
        <f aca="false">'Nigeria PL'!I6</f>
        <v>425000</v>
      </c>
      <c r="J15" s="11" t="n">
        <f aca="false">'Nigeria PL'!J6</f>
        <v>403750</v>
      </c>
      <c r="K15" s="11" t="n">
        <f aca="false">'Nigeria PL'!K6</f>
        <v>382500</v>
      </c>
      <c r="L15" s="11" t="n">
        <f aca="false">'Nigeria PL'!L6</f>
        <v>425000</v>
      </c>
      <c r="M15" s="11" t="n">
        <f aca="false">'Nigeria PL'!M6</f>
        <v>446250</v>
      </c>
      <c r="N15" s="11" t="n">
        <f aca="false">'Nigeria PL'!N6</f>
        <v>552500</v>
      </c>
      <c r="O15" s="11" t="n">
        <f aca="false">'Nigeria PL'!O6</f>
        <v>573750</v>
      </c>
      <c r="P15" s="11" t="n">
        <f aca="false">'Nigeria PL'!Q6</f>
        <v>425000</v>
      </c>
      <c r="Q15" s="11" t="n">
        <f aca="false">'Nigeria PL'!R6</f>
        <v>425000</v>
      </c>
      <c r="R15" s="11" t="n">
        <f aca="false">'Nigeria PL'!S6</f>
        <v>450000</v>
      </c>
      <c r="S15" s="11" t="n">
        <f aca="false">'Nigeria PL'!T6</f>
        <v>450000</v>
      </c>
      <c r="T15" s="11" t="n">
        <f aca="false">'Nigeria PL'!U6</f>
        <v>475000</v>
      </c>
      <c r="U15" s="11" t="n">
        <f aca="false">'Nigeria PL'!V6</f>
        <v>500000</v>
      </c>
      <c r="V15" s="11" t="n">
        <f aca="false">'Nigeria PL'!W6</f>
        <v>475000</v>
      </c>
      <c r="W15" s="11" t="n">
        <f aca="false">'Nigeria PL'!X6</f>
        <v>450000</v>
      </c>
      <c r="X15" s="11" t="n">
        <f aca="false">'Nigeria PL'!Y6</f>
        <v>500000</v>
      </c>
      <c r="Y15" s="11" t="n">
        <f aca="false">'Nigeria PL'!Z6</f>
        <v>525000</v>
      </c>
      <c r="Z15" s="11" t="n">
        <f aca="false">'Nigeria PL'!AA6</f>
        <v>650000</v>
      </c>
    </row>
    <row r="16" customFormat="false" ht="15" hidden="false" customHeight="false" outlineLevel="0" collapsed="false">
      <c r="B16" s="0" t="s">
        <v>120</v>
      </c>
      <c r="C16" s="11" t="n">
        <f aca="false">'Nigeria PL'!D9</f>
        <v>190378.75</v>
      </c>
      <c r="D16" s="11" t="n">
        <f aca="false">'Nigeria PL'!E9</f>
        <v>190378.75</v>
      </c>
      <c r="E16" s="11" t="n">
        <f aca="false">'Nigeria PL'!F9</f>
        <v>201577.5</v>
      </c>
      <c r="F16" s="11" t="n">
        <f aca="false">'Nigeria PL'!G9</f>
        <v>201577.5</v>
      </c>
      <c r="G16" s="11" t="n">
        <f aca="false">'Nigeria PL'!H9</f>
        <v>212776.25</v>
      </c>
      <c r="H16" s="11" t="n">
        <f aca="false">'Nigeria PL'!I9</f>
        <v>223975</v>
      </c>
      <c r="I16" s="11" t="n">
        <f aca="false">'Nigeria PL'!J9</f>
        <v>212776.25</v>
      </c>
      <c r="J16" s="11" t="n">
        <f aca="false">'Nigeria PL'!K9</f>
        <v>201577.5</v>
      </c>
      <c r="K16" s="11" t="n">
        <f aca="false">'Nigeria PL'!L9</f>
        <v>223975</v>
      </c>
      <c r="L16" s="11" t="n">
        <f aca="false">'Nigeria PL'!M9</f>
        <v>235173.75</v>
      </c>
      <c r="M16" s="11" t="n">
        <f aca="false">'Nigeria PL'!N9</f>
        <v>291167.5</v>
      </c>
      <c r="N16" s="11" t="n">
        <f aca="false">'Nigeria PL'!O9</f>
        <v>302366.25</v>
      </c>
      <c r="O16" s="11" t="n">
        <f aca="false">'Nigeria PL'!Q9</f>
        <v>223975</v>
      </c>
      <c r="P16" s="11" t="n">
        <f aca="false">'Nigeria PL'!R9</f>
        <v>223975</v>
      </c>
      <c r="Q16" s="11" t="n">
        <f aca="false">'Nigeria PL'!S9</f>
        <v>237150</v>
      </c>
      <c r="R16" s="11" t="n">
        <f aca="false">'Nigeria PL'!T9</f>
        <v>237150</v>
      </c>
      <c r="S16" s="11" t="n">
        <f aca="false">'Nigeria PL'!U9</f>
        <v>250325</v>
      </c>
      <c r="T16" s="11" t="n">
        <f aca="false">'Nigeria PL'!V9</f>
        <v>263500</v>
      </c>
      <c r="U16" s="11" t="n">
        <f aca="false">'Nigeria PL'!W9</f>
        <v>250325</v>
      </c>
      <c r="V16" s="11" t="n">
        <f aca="false">'Nigeria PL'!X9</f>
        <v>237150</v>
      </c>
      <c r="W16" s="11" t="n">
        <f aca="false">'Nigeria PL'!Y9</f>
        <v>263500</v>
      </c>
      <c r="X16" s="11" t="n">
        <f aca="false">'Nigeria PL'!Z9</f>
        <v>276675</v>
      </c>
      <c r="Y16" s="11" t="n">
        <f aca="false">'Nigeria PL'!AA9</f>
        <v>342550</v>
      </c>
      <c r="Z16" s="11" t="n">
        <f aca="false">'Nigeria PL'!AB9</f>
        <v>355725</v>
      </c>
    </row>
    <row r="17" customFormat="false" ht="15" hidden="false" customHeight="false" outlineLevel="0" collapsed="false">
      <c r="B17" s="0" t="s">
        <v>121</v>
      </c>
      <c r="C17" s="11" t="n">
        <f aca="false">'Nigeria PL'!D23</f>
        <v>100245.833333333</v>
      </c>
      <c r="D17" s="11" t="n">
        <f aca="false">'Nigeria PL'!E23</f>
        <v>100245.833333333</v>
      </c>
      <c r="E17" s="11" t="n">
        <f aca="false">'Nigeria PL'!F23</f>
        <v>100670.833333333</v>
      </c>
      <c r="F17" s="11" t="n">
        <f aca="false">'Nigeria PL'!G23</f>
        <v>100670.833333333</v>
      </c>
      <c r="G17" s="11" t="n">
        <f aca="false">'Nigeria PL'!H23</f>
        <v>101095.833333333</v>
      </c>
      <c r="H17" s="11" t="n">
        <f aca="false">'Nigeria PL'!I23</f>
        <v>101520.833333333</v>
      </c>
      <c r="I17" s="11" t="n">
        <f aca="false">'Nigeria PL'!J23</f>
        <v>101095.833333333</v>
      </c>
      <c r="J17" s="11" t="n">
        <f aca="false">'Nigeria PL'!K23</f>
        <v>100670.833333333</v>
      </c>
      <c r="K17" s="11" t="n">
        <f aca="false">'Nigeria PL'!L23</f>
        <v>101520.833333333</v>
      </c>
      <c r="L17" s="11" t="n">
        <f aca="false">'Nigeria PL'!M23</f>
        <v>101945.833333333</v>
      </c>
      <c r="M17" s="11" t="n">
        <f aca="false">'Nigeria PL'!N23</f>
        <v>104070.833333333</v>
      </c>
      <c r="N17" s="11" t="n">
        <f aca="false">'Nigeria PL'!O23</f>
        <v>104495.833333333</v>
      </c>
      <c r="O17" s="11" t="n">
        <f aca="false">'Nigeria PL'!Q23</f>
        <v>104776.5625</v>
      </c>
      <c r="P17" s="11" t="n">
        <f aca="false">'Nigeria PL'!R23</f>
        <v>104776.5625</v>
      </c>
      <c r="Q17" s="11" t="n">
        <f aca="false">'Nigeria PL'!S23</f>
        <v>105276.5625</v>
      </c>
      <c r="R17" s="11" t="n">
        <f aca="false">'Nigeria PL'!T23</f>
        <v>105276.5625</v>
      </c>
      <c r="S17" s="11" t="n">
        <f aca="false">'Nigeria PL'!U23</f>
        <v>105776.5625</v>
      </c>
      <c r="T17" s="11" t="n">
        <f aca="false">'Nigeria PL'!V23</f>
        <v>106276.5625</v>
      </c>
      <c r="U17" s="11" t="n">
        <f aca="false">'Nigeria PL'!W23</f>
        <v>105776.5625</v>
      </c>
      <c r="V17" s="11" t="n">
        <f aca="false">'Nigeria PL'!X23</f>
        <v>105276.5625</v>
      </c>
      <c r="W17" s="11" t="n">
        <f aca="false">'Nigeria PL'!Y23</f>
        <v>106276.5625</v>
      </c>
      <c r="X17" s="11" t="n">
        <f aca="false">'Nigeria PL'!Z23</f>
        <v>106776.5625</v>
      </c>
      <c r="Y17" s="11" t="n">
        <f aca="false">'Nigeria PL'!AA23</f>
        <v>109276.5625</v>
      </c>
      <c r="Z17" s="11" t="n">
        <f aca="false">'Nigeria PL'!AB23</f>
        <v>109776.5625</v>
      </c>
    </row>
    <row r="18" customFormat="false" ht="15" hidden="false" customHeight="false" outlineLevel="0" collapsed="false">
      <c r="B18" s="3" t="s">
        <v>122</v>
      </c>
      <c r="C18" s="5" t="n">
        <f aca="false">C15-C16-C17</f>
        <v>70625.4166666667</v>
      </c>
      <c r="D18" s="5" t="n">
        <f aca="false">D15-D16-D17</f>
        <v>70625.4166666667</v>
      </c>
      <c r="E18" s="5" t="n">
        <f aca="false">E15-E16-E17</f>
        <v>59001.6666666667</v>
      </c>
      <c r="F18" s="5" t="n">
        <f aca="false">F15-F16-F17</f>
        <v>80251.6666666667</v>
      </c>
      <c r="G18" s="5" t="n">
        <f aca="false">G15-G16-G17</f>
        <v>68627.9166666667</v>
      </c>
      <c r="H18" s="5" t="n">
        <f aca="false">H15-H16-H17</f>
        <v>78254.1666666667</v>
      </c>
      <c r="I18" s="5" t="n">
        <f aca="false">I15-I16-I17</f>
        <v>111127.916666667</v>
      </c>
      <c r="J18" s="5" t="n">
        <f aca="false">J15-J16-J17</f>
        <v>101501.666666667</v>
      </c>
      <c r="K18" s="5" t="n">
        <f aca="false">K15-K16-K17</f>
        <v>57004.1666666667</v>
      </c>
      <c r="L18" s="5" t="n">
        <f aca="false">L15-L16-L17</f>
        <v>87880.4166666667</v>
      </c>
      <c r="M18" s="5" t="n">
        <f aca="false">M15-M16-M17</f>
        <v>51011.6666666667</v>
      </c>
      <c r="N18" s="5" t="n">
        <f aca="false">N15-N16-N17</f>
        <v>145637.916666667</v>
      </c>
      <c r="O18" s="5" t="n">
        <f aca="false">O15-O16-O17</f>
        <v>244998.4375</v>
      </c>
      <c r="P18" s="5" t="n">
        <f aca="false">P15-P16-P17</f>
        <v>96248.4375</v>
      </c>
      <c r="Q18" s="5" t="n">
        <f aca="false">Q15-Q16-Q17</f>
        <v>82573.4375</v>
      </c>
      <c r="R18" s="5" t="n">
        <f aca="false">R15-R16-R17</f>
        <v>107573.4375</v>
      </c>
      <c r="S18" s="5" t="n">
        <f aca="false">S15-S16-S17</f>
        <v>93898.4375</v>
      </c>
      <c r="T18" s="5" t="n">
        <f aca="false">T15-T16-T17</f>
        <v>105223.4375</v>
      </c>
      <c r="U18" s="5" t="n">
        <f aca="false">U15-U16-U17</f>
        <v>143898.4375</v>
      </c>
      <c r="V18" s="5" t="n">
        <f aca="false">V15-V16-V17</f>
        <v>132573.4375</v>
      </c>
      <c r="W18" s="5" t="n">
        <f aca="false">W15-W16-W17</f>
        <v>80223.4375</v>
      </c>
      <c r="X18" s="5" t="n">
        <f aca="false">X15-X16-X17</f>
        <v>116548.4375</v>
      </c>
      <c r="Y18" s="5" t="n">
        <f aca="false">Y15-Y16-Y17</f>
        <v>73173.4375</v>
      </c>
      <c r="Z18" s="5" t="n">
        <f aca="false">Z15-Z16-Z17</f>
        <v>184498.4375</v>
      </c>
    </row>
    <row r="19" customFormat="false" ht="15" hidden="false" customHeight="false" outlineLevel="0" collapsed="false">
      <c r="B19" s="3" t="s">
        <v>123</v>
      </c>
      <c r="C19" s="5" t="n">
        <f aca="false">C14+C18</f>
        <v>2270625.41666667</v>
      </c>
      <c r="D19" s="5" t="n">
        <f aca="false">D14+D18</f>
        <v>2341250.83333333</v>
      </c>
      <c r="E19" s="5" t="n">
        <f aca="false">E14+E18</f>
        <v>2400252.5</v>
      </c>
      <c r="F19" s="5" t="n">
        <f aca="false">F14+F18</f>
        <v>2480504.16666667</v>
      </c>
      <c r="G19" s="5" t="n">
        <f aca="false">G14+G18</f>
        <v>2549132.08333333</v>
      </c>
      <c r="H19" s="5" t="n">
        <f aca="false">H14+H18</f>
        <v>2627386.25</v>
      </c>
      <c r="I19" s="5" t="n">
        <f aca="false">I14+I18</f>
        <v>2738514.16666667</v>
      </c>
      <c r="J19" s="5" t="n">
        <f aca="false">J14+J18</f>
        <v>2840015.83333333</v>
      </c>
      <c r="K19" s="5" t="n">
        <f aca="false">K14+K18</f>
        <v>2897020</v>
      </c>
      <c r="L19" s="5" t="n">
        <f aca="false">L14+L18</f>
        <v>2984900.41666667</v>
      </c>
      <c r="M19" s="5" t="n">
        <f aca="false">M14+M18</f>
        <v>3035912.08333333</v>
      </c>
      <c r="N19" s="5" t="n">
        <f aca="false">N14+N18</f>
        <v>3181550</v>
      </c>
      <c r="O19" s="5" t="n">
        <f aca="false">O14+O18</f>
        <v>3426548.4375</v>
      </c>
      <c r="P19" s="5" t="n">
        <f aca="false">P14+P18</f>
        <v>3522796.875</v>
      </c>
      <c r="Q19" s="5" t="n">
        <f aca="false">Q14+Q18</f>
        <v>3605370.3125</v>
      </c>
      <c r="R19" s="5" t="n">
        <f aca="false">R14+R18</f>
        <v>3712943.75</v>
      </c>
      <c r="S19" s="5" t="n">
        <f aca="false">S14+S18</f>
        <v>3806842.1875</v>
      </c>
      <c r="T19" s="5" t="n">
        <f aca="false">T14+T18</f>
        <v>3912065.625</v>
      </c>
      <c r="U19" s="5" t="n">
        <f aca="false">U14+U18</f>
        <v>4055964.0625</v>
      </c>
      <c r="V19" s="5" t="n">
        <f aca="false">V14+V18</f>
        <v>4188537.5</v>
      </c>
      <c r="W19" s="5" t="n">
        <f aca="false">W14+W18</f>
        <v>4268760.9375</v>
      </c>
      <c r="X19" s="5" t="n">
        <f aca="false">X14+X18</f>
        <v>4385309.375</v>
      </c>
      <c r="Y19" s="5" t="n">
        <f aca="false">Y14+Y18</f>
        <v>4458482.8125</v>
      </c>
      <c r="Z19" s="5" t="n">
        <f aca="false">Z14+Z18</f>
        <v>4642981.25</v>
      </c>
    </row>
    <row r="21" customFormat="false" ht="15" hidden="false" customHeight="false" outlineLevel="0" collapsed="false">
      <c r="B21" s="3" t="s">
        <v>124</v>
      </c>
    </row>
    <row r="22" customFormat="false" ht="15" hidden="false" customHeight="false" outlineLevel="0" collapsed="false">
      <c r="B22" s="0" t="s">
        <v>118</v>
      </c>
      <c r="C22" s="7" t="n">
        <f aca="false">C6+C14</f>
        <v>4400000</v>
      </c>
      <c r="D22" s="7" t="n">
        <f aca="false">D6+D14</f>
        <v>4469491.45833333</v>
      </c>
      <c r="E22" s="7" t="n">
        <f aca="false">E6+E14</f>
        <v>4538982.91666667</v>
      </c>
      <c r="F22" s="7" t="n">
        <f aca="false">F6+F14</f>
        <v>4578959.16666667</v>
      </c>
      <c r="G22" s="7" t="n">
        <f aca="false">G6+G14</f>
        <v>4672893.75</v>
      </c>
      <c r="H22" s="7" t="n">
        <f aca="false">H6+H14</f>
        <v>4737313.125</v>
      </c>
      <c r="I22" s="7" t="n">
        <f aca="false">I6+I14</f>
        <v>4826175.625</v>
      </c>
      <c r="J22" s="7" t="n">
        <f aca="false">J6+J14</f>
        <v>4998511.66666667</v>
      </c>
      <c r="K22" s="7" t="n">
        <f aca="false">K6+K14</f>
        <v>5146404.58333333</v>
      </c>
      <c r="L22" s="7" t="n">
        <f aca="false">L6+L14</f>
        <v>5181308.75</v>
      </c>
      <c r="M22" s="7" t="n">
        <f aca="false">M6+M14</f>
        <v>5294614.375</v>
      </c>
      <c r="N22" s="7" t="n">
        <f aca="false">N6+N14</f>
        <v>5314302.29166666</v>
      </c>
      <c r="O22" s="7" t="n">
        <f aca="false">O6+O14</f>
        <v>5574266.66666666</v>
      </c>
      <c r="P22" s="7" t="n">
        <f aca="false">P6+P14</f>
        <v>6091801.04166666</v>
      </c>
      <c r="Q22" s="7" t="n">
        <f aca="false">Q6+Q14</f>
        <v>6214960.41666666</v>
      </c>
      <c r="R22" s="7" t="n">
        <f aca="false">R6+R14</f>
        <v>6303932.29166666</v>
      </c>
      <c r="S22" s="7" t="n">
        <f aca="false">S6+S14</f>
        <v>6455404.16666666</v>
      </c>
      <c r="T22" s="7" t="n">
        <f aca="false">T6+T14</f>
        <v>6572688.54166666</v>
      </c>
      <c r="U22" s="7" t="n">
        <f aca="false">U6+U14</f>
        <v>6718285.41666666</v>
      </c>
      <c r="V22" s="7" t="n">
        <f aca="false">V6+V14</f>
        <v>6960569.79166666</v>
      </c>
      <c r="W22" s="7" t="n">
        <f aca="false">W6+W14</f>
        <v>7174541.66666666</v>
      </c>
      <c r="X22" s="7" t="n">
        <f aca="false">X6+X14</f>
        <v>7257638.54166666</v>
      </c>
      <c r="Y22" s="7" t="n">
        <f aca="false">Y6+Y14</f>
        <v>7431547.91666666</v>
      </c>
      <c r="Z22" s="7" t="n">
        <f aca="false">Z6+Z14</f>
        <v>7497019.79166666</v>
      </c>
    </row>
    <row r="23" customFormat="false" ht="15" hidden="false" customHeight="false" outlineLevel="0" collapsed="false">
      <c r="B23" s="0" t="s">
        <v>119</v>
      </c>
      <c r="C23" s="7" t="n">
        <f aca="false">C7+C15</f>
        <v>917291.666666667</v>
      </c>
      <c r="D23" s="7" t="n">
        <f aca="false">D7+D15</f>
        <v>917291.666666667</v>
      </c>
      <c r="E23" s="7" t="n">
        <f aca="false">E7+E15</f>
        <v>917291.666666667</v>
      </c>
      <c r="F23" s="7" t="n">
        <f aca="false">F7+F15</f>
        <v>971250</v>
      </c>
      <c r="G23" s="7" t="n">
        <f aca="false">G7+G15</f>
        <v>971250</v>
      </c>
      <c r="H23" s="7" t="n">
        <f aca="false">H7+H15</f>
        <v>1025208.33333333</v>
      </c>
      <c r="I23" s="7" t="n">
        <f aca="false">I7+I15</f>
        <v>1079166.66666667</v>
      </c>
      <c r="J23" s="7" t="n">
        <f aca="false">J7+J15</f>
        <v>1025208.33333333</v>
      </c>
      <c r="K23" s="7" t="n">
        <f aca="false">K7+K15</f>
        <v>971250</v>
      </c>
      <c r="L23" s="7" t="n">
        <f aca="false">L7+L15</f>
        <v>1079166.66666667</v>
      </c>
      <c r="M23" s="7" t="n">
        <f aca="false">M7+M15</f>
        <v>1133125</v>
      </c>
      <c r="N23" s="7" t="n">
        <f aca="false">N7+N15</f>
        <v>1402916.66666667</v>
      </c>
      <c r="O23" s="7" t="n">
        <f aca="false">O7+O15</f>
        <v>1456875</v>
      </c>
      <c r="P23" s="7" t="n">
        <f aca="false">P7+P15</f>
        <v>1062500</v>
      </c>
      <c r="Q23" s="7" t="n">
        <f aca="false">Q7+Q15</f>
        <v>1062500</v>
      </c>
      <c r="R23" s="7" t="n">
        <f aca="false">R7+R15</f>
        <v>1125000</v>
      </c>
      <c r="S23" s="7" t="n">
        <f aca="false">S7+S15</f>
        <v>1125000</v>
      </c>
      <c r="T23" s="7" t="n">
        <f aca="false">T7+T15</f>
        <v>1187500</v>
      </c>
      <c r="U23" s="7" t="n">
        <f aca="false">U7+U15</f>
        <v>1250000</v>
      </c>
      <c r="V23" s="7" t="n">
        <f aca="false">V7+V15</f>
        <v>1187500</v>
      </c>
      <c r="W23" s="7" t="n">
        <f aca="false">W7+W15</f>
        <v>1125000</v>
      </c>
      <c r="X23" s="7" t="n">
        <f aca="false">X7+X15</f>
        <v>1250000</v>
      </c>
      <c r="Y23" s="7" t="n">
        <f aca="false">Y7+Y15</f>
        <v>1312500</v>
      </c>
      <c r="Z23" s="7" t="n">
        <f aca="false">Z7+Z15</f>
        <v>1625000</v>
      </c>
    </row>
    <row r="24" customFormat="false" ht="15" hidden="false" customHeight="false" outlineLevel="0" collapsed="false">
      <c r="B24" s="0" t="s">
        <v>120</v>
      </c>
      <c r="C24" s="7" t="n">
        <f aca="false">C8+C16</f>
        <v>483412.708333333</v>
      </c>
      <c r="D24" s="7" t="n">
        <f aca="false">D8+D16</f>
        <v>483412.708333333</v>
      </c>
      <c r="E24" s="7" t="n">
        <f aca="false">E8+E16</f>
        <v>511848.75</v>
      </c>
      <c r="F24" s="7" t="n">
        <f aca="false">F8+F16</f>
        <v>511848.75</v>
      </c>
      <c r="G24" s="7" t="n">
        <f aca="false">G8+G16</f>
        <v>540284.791666667</v>
      </c>
      <c r="H24" s="7" t="n">
        <f aca="false">H8+H16</f>
        <v>568720.833333333</v>
      </c>
      <c r="I24" s="7" t="n">
        <f aca="false">I8+I16</f>
        <v>540284.791666667</v>
      </c>
      <c r="J24" s="7" t="n">
        <f aca="false">J8+J16</f>
        <v>511848.75</v>
      </c>
      <c r="K24" s="7" t="n">
        <f aca="false">K8+K16</f>
        <v>568720.833333333</v>
      </c>
      <c r="L24" s="7" t="n">
        <f aca="false">L8+L16</f>
        <v>597156.875</v>
      </c>
      <c r="M24" s="7" t="n">
        <f aca="false">M8+M16</f>
        <v>739337.083333333</v>
      </c>
      <c r="N24" s="7" t="n">
        <f aca="false">N8+N16</f>
        <v>767773.125</v>
      </c>
      <c r="O24" s="7" t="n">
        <f aca="false">O8+O16</f>
        <v>559937.5</v>
      </c>
      <c r="P24" s="7" t="n">
        <f aca="false">P8+P16</f>
        <v>559937.5</v>
      </c>
      <c r="Q24" s="7" t="n">
        <f aca="false">Q8+Q16</f>
        <v>592875</v>
      </c>
      <c r="R24" s="7" t="n">
        <f aca="false">R8+R16</f>
        <v>592875</v>
      </c>
      <c r="S24" s="7" t="n">
        <f aca="false">S8+S16</f>
        <v>625812.5</v>
      </c>
      <c r="T24" s="7" t="n">
        <f aca="false">T8+T16</f>
        <v>658750</v>
      </c>
      <c r="U24" s="7" t="n">
        <f aca="false">U8+U16</f>
        <v>625812.5</v>
      </c>
      <c r="V24" s="7" t="n">
        <f aca="false">V8+V16</f>
        <v>592875</v>
      </c>
      <c r="W24" s="7" t="n">
        <f aca="false">W8+W16</f>
        <v>658750</v>
      </c>
      <c r="X24" s="7" t="n">
        <f aca="false">X8+X16</f>
        <v>691687.5</v>
      </c>
      <c r="Y24" s="7" t="n">
        <f aca="false">Y8+Y16</f>
        <v>856375</v>
      </c>
      <c r="Z24" s="7" t="n">
        <f aca="false">Z8+Z16</f>
        <v>889312.5</v>
      </c>
    </row>
    <row r="25" customFormat="false" ht="15" hidden="false" customHeight="false" outlineLevel="0" collapsed="false">
      <c r="B25" s="0" t="s">
        <v>121</v>
      </c>
      <c r="C25" s="7" t="n">
        <f aca="false">C9+C17</f>
        <v>364387.5</v>
      </c>
      <c r="D25" s="7" t="n">
        <f aca="false">D9+D17</f>
        <v>364387.5</v>
      </c>
      <c r="E25" s="7" t="n">
        <f aca="false">E9+E17</f>
        <v>365466.666666667</v>
      </c>
      <c r="F25" s="7" t="n">
        <f aca="false">F9+F17</f>
        <v>365466.666666667</v>
      </c>
      <c r="G25" s="7" t="n">
        <f aca="false">G9+G17</f>
        <v>366545.833333333</v>
      </c>
      <c r="H25" s="7" t="n">
        <f aca="false">H9+H17</f>
        <v>367625</v>
      </c>
      <c r="I25" s="7" t="n">
        <f aca="false">I9+I17</f>
        <v>366545.833333333</v>
      </c>
      <c r="J25" s="7" t="n">
        <f aca="false">J9+J17</f>
        <v>365466.666666667</v>
      </c>
      <c r="K25" s="7" t="n">
        <f aca="false">K9+K17</f>
        <v>367625</v>
      </c>
      <c r="L25" s="7" t="n">
        <f aca="false">L9+L17</f>
        <v>368704.166666667</v>
      </c>
      <c r="M25" s="7" t="n">
        <f aca="false">M9+M17</f>
        <v>374100</v>
      </c>
      <c r="N25" s="7" t="n">
        <f aca="false">N9+N17</f>
        <v>375179.166666667</v>
      </c>
      <c r="O25" s="7" t="n">
        <f aca="false">O9+O17</f>
        <v>379403.125</v>
      </c>
      <c r="P25" s="7" t="n">
        <f aca="false">P9+P17</f>
        <v>379403.125</v>
      </c>
      <c r="Q25" s="7" t="n">
        <f aca="false">Q9+Q17</f>
        <v>380653.125</v>
      </c>
      <c r="R25" s="7" t="n">
        <f aca="false">R9+R17</f>
        <v>380653.125</v>
      </c>
      <c r="S25" s="7" t="n">
        <f aca="false">S9+S17</f>
        <v>381903.125</v>
      </c>
      <c r="T25" s="7" t="n">
        <f aca="false">T9+T17</f>
        <v>383153.125</v>
      </c>
      <c r="U25" s="7" t="n">
        <f aca="false">U9+U17</f>
        <v>381903.125</v>
      </c>
      <c r="V25" s="7" t="n">
        <f aca="false">V9+V17</f>
        <v>380653.125</v>
      </c>
      <c r="W25" s="7" t="n">
        <f aca="false">W9+W17</f>
        <v>383153.125</v>
      </c>
      <c r="X25" s="7" t="n">
        <f aca="false">X9+X17</f>
        <v>384403.125</v>
      </c>
      <c r="Y25" s="7" t="n">
        <f aca="false">Y9+Y17</f>
        <v>390653.125</v>
      </c>
      <c r="Z25" s="7" t="n">
        <f aca="false">Z9+Z17</f>
        <v>391903.125</v>
      </c>
    </row>
    <row r="26" customFormat="false" ht="15" hidden="false" customHeight="false" outlineLevel="0" collapsed="false">
      <c r="B26" s="3" t="s">
        <v>122</v>
      </c>
      <c r="C26" s="5" t="n">
        <f aca="false">C10+C18</f>
        <v>69491.4583333333</v>
      </c>
      <c r="D26" s="5" t="n">
        <f aca="false">D10+D18</f>
        <v>69491.4583333333</v>
      </c>
      <c r="E26" s="5" t="n">
        <f aca="false">E10+E18</f>
        <v>39976.2499999999</v>
      </c>
      <c r="F26" s="5" t="n">
        <f aca="false">F10+F18</f>
        <v>93934.5833333333</v>
      </c>
      <c r="G26" s="5" t="n">
        <f aca="false">G10+G18</f>
        <v>64419.375</v>
      </c>
      <c r="H26" s="5" t="n">
        <f aca="false">H10+H18</f>
        <v>88862.5</v>
      </c>
      <c r="I26" s="5" t="n">
        <f aca="false">I10+I18</f>
        <v>172336.041666667</v>
      </c>
      <c r="J26" s="5" t="n">
        <f aca="false">J10+J18</f>
        <v>147892.916666667</v>
      </c>
      <c r="K26" s="5" t="n">
        <f aca="false">K10+K18</f>
        <v>34904.1666666667</v>
      </c>
      <c r="L26" s="5" t="n">
        <f aca="false">L10+L18</f>
        <v>113305.625</v>
      </c>
      <c r="M26" s="5" t="n">
        <f aca="false">M10+M18</f>
        <v>19687.9166666667</v>
      </c>
      <c r="N26" s="5" t="n">
        <f aca="false">N10+N18</f>
        <v>259964.375</v>
      </c>
      <c r="O26" s="5" t="n">
        <f aca="false">O10+O18</f>
        <v>517534.375</v>
      </c>
      <c r="P26" s="5" t="n">
        <f aca="false">P10+P18</f>
        <v>123159.375</v>
      </c>
      <c r="Q26" s="5" t="n">
        <f aca="false">Q10+Q18</f>
        <v>88971.8750000001</v>
      </c>
      <c r="R26" s="5" t="n">
        <f aca="false">R10+R18</f>
        <v>151471.875</v>
      </c>
      <c r="S26" s="5" t="n">
        <f aca="false">S10+S18</f>
        <v>117284.375</v>
      </c>
      <c r="T26" s="5" t="n">
        <f aca="false">T10+T18</f>
        <v>145596.875</v>
      </c>
      <c r="U26" s="5" t="n">
        <f aca="false">U10+U18</f>
        <v>242284.375</v>
      </c>
      <c r="V26" s="5" t="n">
        <f aca="false">V10+V18</f>
        <v>213971.875</v>
      </c>
      <c r="W26" s="5" t="n">
        <f aca="false">W10+W18</f>
        <v>83096.8750000001</v>
      </c>
      <c r="X26" s="5" t="n">
        <f aca="false">X10+X18</f>
        <v>173909.375</v>
      </c>
      <c r="Y26" s="5" t="n">
        <f aca="false">Y10+Y18</f>
        <v>65471.8750000001</v>
      </c>
      <c r="Z26" s="5" t="n">
        <f aca="false">Z10+Z18</f>
        <v>343784.375</v>
      </c>
    </row>
    <row r="27" customFormat="false" ht="15" hidden="false" customHeight="false" outlineLevel="0" collapsed="false">
      <c r="B27" s="3" t="s">
        <v>123</v>
      </c>
      <c r="C27" s="5" t="n">
        <f aca="false">C11+C19</f>
        <v>4469491.45833333</v>
      </c>
      <c r="D27" s="5" t="n">
        <f aca="false">D11+D19</f>
        <v>4538982.91666667</v>
      </c>
      <c r="E27" s="5" t="n">
        <f aca="false">E11+E19</f>
        <v>4578959.16666667</v>
      </c>
      <c r="F27" s="5" t="n">
        <f aca="false">F11+F19</f>
        <v>4672893.75</v>
      </c>
      <c r="G27" s="5" t="n">
        <f aca="false">G11+G19</f>
        <v>4737313.125</v>
      </c>
      <c r="H27" s="5" t="n">
        <f aca="false">H11+H19</f>
        <v>4826175.625</v>
      </c>
      <c r="I27" s="5" t="n">
        <f aca="false">I11+I19</f>
        <v>4998511.66666667</v>
      </c>
      <c r="J27" s="5" t="n">
        <f aca="false">J11+J19</f>
        <v>5146404.58333333</v>
      </c>
      <c r="K27" s="5" t="n">
        <f aca="false">K11+K19</f>
        <v>5181308.75</v>
      </c>
      <c r="L27" s="5" t="n">
        <f aca="false">L11+L19</f>
        <v>5294614.375</v>
      </c>
      <c r="M27" s="5" t="n">
        <f aca="false">M11+M19</f>
        <v>5314302.29166666</v>
      </c>
      <c r="N27" s="5" t="n">
        <f aca="false">N11+N19</f>
        <v>5574266.66666666</v>
      </c>
      <c r="O27" s="5" t="n">
        <f aca="false">O11+O19</f>
        <v>6091801.04166666</v>
      </c>
      <c r="P27" s="5" t="n">
        <f aca="false">P11+P19</f>
        <v>6214960.41666666</v>
      </c>
      <c r="Q27" s="5" t="n">
        <f aca="false">Q11+Q19</f>
        <v>6303932.29166666</v>
      </c>
      <c r="R27" s="5" t="n">
        <f aca="false">R11+R19</f>
        <v>6455404.16666666</v>
      </c>
      <c r="S27" s="5" t="n">
        <f aca="false">S11+S19</f>
        <v>6572688.54166666</v>
      </c>
      <c r="T27" s="5" t="n">
        <f aca="false">T11+T19</f>
        <v>6718285.41666666</v>
      </c>
      <c r="U27" s="5" t="n">
        <f aca="false">U11+U19</f>
        <v>6960569.79166666</v>
      </c>
      <c r="V27" s="5" t="n">
        <f aca="false">V11+V19</f>
        <v>7174541.66666666</v>
      </c>
      <c r="W27" s="5" t="n">
        <f aca="false">W11+W19</f>
        <v>7257638.54166666</v>
      </c>
      <c r="X27" s="5" t="n">
        <f aca="false">X11+X19</f>
        <v>7431547.91666666</v>
      </c>
      <c r="Y27" s="5" t="n">
        <f aca="false">Y11+Y19</f>
        <v>7497019.79166666</v>
      </c>
      <c r="Z27" s="5" t="n">
        <f aca="false">Z11+Z19</f>
        <v>7840804.16666666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2026-08-25T04:59:38Z</dcterms:created>
  <dc:creator>openpyxl</dc:creator>
  <dc:description/>
  <dc:language>en-US</dc:language>
  <cp:lastModifiedBy/>
  <dcterms:modified xsi:type="dcterms:W3CDTF">2026-08-25T04:59:38Z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